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음원유통정산내역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<sst xmlns="http://schemas.openxmlformats.org/spreadsheetml/2006/main" uniqueCount="102">
  <si>
    <t>음원 유통 정산 내역</t>
  </si>
  <si>
    <t>판매기준월 :</t>
  </si>
  <si>
    <t>2025. 09</t>
  </si>
  <si>
    <t>지난달까지 누적된 지급대기 정산금 (A)</t>
  </si>
  <si>
    <t>이번달 정산금 (B)</t>
  </si>
  <si>
    <t>클라우드 데이터베이스 수수료 (C)</t>
  </si>
  <si>
    <t>최종 지급대기 정산금</t>
  </si>
  <si>
    <t>정산금 (A+B-C)</t>
  </si>
  <si>
    <t>원천세 공제 (3.3%)</t>
  </si>
  <si>
    <t>실수령금액 (D)</t>
  </si>
  <si>
    <t xml:space="preserve"> ※ 최종 지급대기 정산금 실수령금액(D)이 10만원 이상일 경우 </t>
  </si>
  <si>
    <t xml:space="preserve">    정산서를 승인해 주시면 정산금이 지급됩니다. </t>
  </si>
  <si>
    <t xml:space="preserve">    10만원 미만일 경우 정산금 지급이 다음달로 이월됩니다.</t>
  </si>
  <si>
    <t>Channel</t>
  </si>
  <si>
    <t>Quantity</t>
  </si>
  <si>
    <t>Wholesale
Price</t>
  </si>
  <si>
    <t>Partner Share</t>
  </si>
  <si>
    <t>Post-TAX
Subtotal</t>
  </si>
  <si>
    <t>Currency</t>
  </si>
  <si>
    <t>Album</t>
  </si>
  <si>
    <t>Artist</t>
  </si>
  <si>
    <t>Title</t>
  </si>
  <si>
    <t>Label</t>
  </si>
  <si>
    <t>Artist Share</t>
  </si>
  <si>
    <t>Q x WsP</t>
  </si>
  <si>
    <t>Local Currency</t>
  </si>
  <si>
    <t>KRW(\)</t>
  </si>
  <si>
    <t>Apple Music</t>
  </si>
  <si>
    <t>KRW</t>
  </si>
  <si>
    <t>Cookie Recipe</t>
  </si>
  <si>
    <t>Sugar Rush</t>
  </si>
  <si>
    <t>Already Perfect</t>
  </si>
  <si>
    <t>Pison Contents</t>
  </si>
  <si>
    <t>Balloonverse</t>
  </si>
  <si>
    <t>Summer Breeze</t>
  </si>
  <si>
    <t>Blue Chaser</t>
  </si>
  <si>
    <t>Sugar Rush : First Love(1st Album)</t>
  </si>
  <si>
    <t>Candy Coated Dreams</t>
  </si>
  <si>
    <t>Candy Pop Soda</t>
  </si>
  <si>
    <t>GBP</t>
  </si>
  <si>
    <t>Sugar Rush : Sugar Remix(Remix Album)</t>
  </si>
  <si>
    <t>Choco Lady</t>
  </si>
  <si>
    <t>Cool Breeze</t>
  </si>
  <si>
    <t>USD</t>
  </si>
  <si>
    <t>Fizz Me Up!</t>
  </si>
  <si>
    <t>Glitter Paradise</t>
  </si>
  <si>
    <t>Heaven On Earth</t>
  </si>
  <si>
    <t>Hypersweet</t>
  </si>
  <si>
    <t>Jam Queen</t>
  </si>
  <si>
    <t>Milk Tea Edition</t>
  </si>
  <si>
    <t>Milk Tea</t>
  </si>
  <si>
    <t>Milky Why</t>
  </si>
  <si>
    <t>Moonlight</t>
  </si>
  <si>
    <t>Morning Dew</t>
  </si>
  <si>
    <t>Off Recipe</t>
  </si>
  <si>
    <t>Parfait Summer Day</t>
  </si>
  <si>
    <t>Sail Me Blue</t>
  </si>
  <si>
    <t>Stardust</t>
  </si>
  <si>
    <t>Starlit Whispers</t>
  </si>
  <si>
    <t>Sweet Dough</t>
  </si>
  <si>
    <t>Sweet Slush</t>
  </si>
  <si>
    <t>Amazon</t>
  </si>
  <si>
    <t>JPY</t>
  </si>
  <si>
    <t>Lucid Blaze</t>
  </si>
  <si>
    <t>Not So Fast</t>
  </si>
  <si>
    <t>Not So Fast 95 BPM</t>
  </si>
  <si>
    <t>EUR</t>
  </si>
  <si>
    <t>Sugar Holic</t>
  </si>
  <si>
    <t>You're Enough</t>
  </si>
  <si>
    <t>그대로도 괜찮아 (Just As You Are)</t>
  </si>
  <si>
    <t>YouTube Red</t>
  </si>
  <si>
    <t>Bittersweet Days</t>
  </si>
  <si>
    <t>Sugar Rush : Cherry Blossom</t>
  </si>
  <si>
    <t>Blossom Honey</t>
  </si>
  <si>
    <t>Candy Coated Dreams (Sugar Remix Ver.)</t>
  </si>
  <si>
    <t>Candy Knight</t>
  </si>
  <si>
    <t>Cherry Blossom Dream</t>
  </si>
  <si>
    <t>Different Mallow</t>
  </si>
  <si>
    <t>Fake Zero</t>
  </si>
  <si>
    <t>Just Sugar</t>
  </si>
  <si>
    <t>Deezer</t>
  </si>
  <si>
    <t>Tidal</t>
  </si>
  <si>
    <t>Line Music</t>
  </si>
  <si>
    <t>Not So Fast 100 BPM</t>
  </si>
  <si>
    <t>Not So Fast 110 BPM</t>
  </si>
  <si>
    <t>Not So Fast 115 BPM</t>
  </si>
  <si>
    <t>Genie</t>
  </si>
  <si>
    <t>Ever With You (A Letter To B)</t>
  </si>
  <si>
    <t>Feline Fantasy</t>
  </si>
  <si>
    <t>Feline Fantasy Haze</t>
  </si>
  <si>
    <t>First Mint</t>
  </si>
  <si>
    <t>Midsummer's Love</t>
  </si>
  <si>
    <t>One Moment</t>
  </si>
  <si>
    <t>Sugar Dive</t>
  </si>
  <si>
    <t>Melon</t>
  </si>
  <si>
    <t>Hi, Love</t>
  </si>
  <si>
    <t>Naver Music</t>
  </si>
  <si>
    <t>Bugs</t>
  </si>
  <si>
    <t>FLO</t>
  </si>
  <si>
    <t>Total Earnings (B)</t>
  </si>
  <si>
    <t>Albums on Cloud (C)</t>
  </si>
  <si>
    <t>※ 해외 음원산업이 DDEX라는 국제음원산업기술표준에 맞춰 배급사-서비스사-저작권관리기관 등 관련기관간 온라인 전산망 구축 의무화로, 발매된 앨범의 원본데이터는 보안성이 검증된 클라우드 서버의 데이터베이스를 통한 상시 데이터-유지-관리가 필요하게 되었습니다.
   뮤직스프레이는 유럽의 C사를 통해 이 부분의 기술을 임대하여 서비스해 왔으나, 금번 3.0버전 오픈에 맞춰 자체 개발 상용화에 성공하였습니다. 이를 통해, 해외 발매 완료된 앨범의 실시간 정보수정, 영어 외 한국어 병행 입력 및 전송, 최근 추가 공급을 시작한 TikTok(글
   로벌)/Tidal(미국)/Hungama(인도) 같이 신규 해외서비스로 일괄 발매전송, 그리고 보다 정확하고 빠른 정산내역 전달을 위한 정산시스템 개선 등 보다 체계화 고도화된 인터넷 서비스로 업그레이드 되었으며, 이와 관련 앨범당 매월 소정의 데이터보관수수료가 발생합니다.</t>
  </si>
</sst>
</file>

<file path=xl/styles.xml><?xml version="1.0" encoding="utf-8"?>
<styleSheet xmlns="http://schemas.openxmlformats.org/spreadsheetml/2006/main">
  <numFmts count="3">
    <numFmt formatCode="_-* #,##0_-;\-* #,##0_-;_-* &quot;-&quot;_-;_-@_-" numFmtId="164"/>
    <numFmt formatCode="#,##0_ " numFmtId="165"/>
    <numFmt formatCode="#,##0_ ;[Red]\-#,##0\ " numFmtId="166"/>
  </numFmts>
  <fonts count="7"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20"/>
      <scheme val="major"/>
    </font>
    <font>
      <name val="맑은 고딕"/>
      <charset val="129"/>
      <family val="2"/>
      <color rgb="FFFF0000"/>
      <sz val="10"/>
      <scheme val="minor"/>
    </font>
    <font>
      <name val="맑은 고딕"/>
      <charset val="129"/>
      <family val="3"/>
      <color rgb="FFFF0000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 tint="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theme="2"/>
      </bottom>
      <diagonal/>
    </border>
    <border>
      <left/>
      <right/>
      <top style="thin">
        <color auto="1"/>
      </top>
      <bottom style="thin">
        <color theme="2"/>
      </bottom>
      <diagonal/>
    </border>
    <border>
      <left/>
      <right style="thin">
        <color auto="1"/>
      </right>
      <top style="thin">
        <color auto="1"/>
      </top>
      <bottom style="thin">
        <color theme="2"/>
      </bottom>
      <diagonal/>
    </border>
    <border>
      <left style="thin">
        <color auto="1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auto="1"/>
      </right>
      <top style="thin">
        <color theme="2"/>
      </top>
      <bottom style="thin">
        <color theme="2"/>
      </bottom>
      <diagonal/>
    </border>
    <border>
      <left style="thin">
        <color auto="1"/>
      </left>
      <right/>
      <top style="thin">
        <color theme="2"/>
      </top>
      <bottom style="medium">
        <color auto="1"/>
      </bottom>
      <diagonal/>
    </border>
    <border>
      <left/>
      <right/>
      <top style="thin">
        <color theme="2"/>
      </top>
      <bottom style="medium">
        <color auto="1"/>
      </bottom>
      <diagonal/>
    </border>
    <border>
      <left/>
      <right style="thin">
        <color auto="1"/>
      </right>
      <top style="thin">
        <color theme="2"/>
      </top>
      <bottom style="medium">
        <color auto="1"/>
      </bottom>
      <diagonal/>
    </border>
    <border>
      <left style="thin">
        <color theme="1" tint="0.249946592608417"/>
      </left>
      <right/>
      <top style="medium">
        <color indexed="64"/>
      </top>
      <bottom style="thin">
        <color theme="2"/>
      </bottom>
      <diagonal/>
    </border>
    <border>
      <left/>
      <right style="thin">
        <color auto="1"/>
      </right>
      <top/>
      <bottom style="thin">
        <color theme="2"/>
      </bottom>
      <diagonal/>
    </border>
    <border>
      <left style="thin">
        <color auto="1"/>
      </left>
      <right/>
      <top/>
      <bottom/>
      <diagonal/>
    </border>
    <border>
      <left style="thin">
        <color theme="1" tint="0.249946592608417"/>
      </left>
      <right/>
      <top style="thin">
        <color theme="2"/>
      </top>
      <bottom style="thin">
        <color theme="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 tint="0.249946592608417"/>
      </left>
      <right/>
      <top style="thin">
        <color theme="2"/>
      </top>
      <bottom style="thin">
        <color auto="1"/>
      </bottom>
      <diagonal/>
    </border>
    <border>
      <left/>
      <right style="thin">
        <color auto="1"/>
      </right>
      <top style="thin">
        <color theme="2"/>
      </top>
      <bottom style="thin">
        <color auto="1"/>
      </bottom>
      <diagonal/>
    </border>
    <border>
      <left style="thin"/>
      <right style="thin">
        <color auto="1"/>
      </right>
      <top style="thin"/>
      <bottom style="thin"/>
      <diagonal/>
    </border>
    <border>
      <left style="thin">
        <color auto="1"/>
      </left>
      <right style="thin">
        <color auto="1"/>
      </right>
      <top style="thin"/>
      <bottom style="thin"/>
      <diagonal/>
    </border>
    <border>
      <left style="thin">
        <color auto="1"/>
      </left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>
        <color auto="1"/>
      </bottom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>
        <color theme="2"/>
      </bottom>
      <diagonal/>
    </border>
    <border>
      <left/>
      <right/>
      <top style="thin"/>
      <bottom style="thin">
        <color theme="2"/>
      </bottom>
      <diagonal/>
    </border>
    <border>
      <left/>
      <right style="thin"/>
      <top style="thin"/>
      <bottom style="thin">
        <color theme="2"/>
      </bottom>
      <diagonal/>
    </border>
    <border>
      <left style="thin"/>
      <right/>
      <top style="thin">
        <color theme="2"/>
      </top>
      <bottom style="thin">
        <color theme="2"/>
      </bottom>
      <diagonal/>
    </border>
    <border>
      <left/>
      <right style="thin"/>
      <top style="thin">
        <color theme="2"/>
      </top>
      <bottom style="thin">
        <color theme="2"/>
      </bottom>
      <diagonal/>
    </border>
    <border>
      <left style="thin"/>
      <right/>
      <top style="thin">
        <color theme="2"/>
      </top>
      <bottom style="medium">
        <color auto="1"/>
      </bottom>
      <diagonal/>
    </border>
    <border>
      <left/>
      <right style="thin"/>
      <top style="thin">
        <color theme="2"/>
      </top>
      <bottom style="medium">
        <color auto="1"/>
      </bottom>
      <diagonal/>
    </border>
    <border>
      <left style="thin"/>
      <right style="thin">
        <color theme="1" tint="0.249946592608417"/>
      </right>
      <top style="medium">
        <color indexed="64"/>
      </top>
      <bottom style="thin">
        <color theme="0" tint="-0.249946592608417"/>
      </bottom>
      <diagonal/>
    </border>
    <border>
      <left/>
      <right style="thin"/>
      <top/>
      <bottom style="thin">
        <color theme="2"/>
      </bottom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>
        <color theme="1" tint="0.249946592608417"/>
      </left>
      <right/>
      <top style="thin">
        <color theme="2"/>
      </top>
      <bottom style="thin"/>
      <diagonal/>
    </border>
    <border>
      <left/>
      <right style="thin"/>
      <top style="thin">
        <color theme="2"/>
      </top>
      <bottom style="thin"/>
      <diagonal/>
    </border>
  </borders>
  <cellStyleXfs count="5">
    <xf borderId="0" fillId="0" fontId="1" numFmtId="0"/>
    <xf borderId="0" fillId="0" fontId="1" numFmtId="164"/>
    <xf borderId="0" fillId="0" fontId="2" numFmtId="0"/>
    <xf borderId="0" fillId="0" fontId="3" numFmtId="0"/>
    <xf borderId="0" fillId="0" fontId="3" numFmtId="0"/>
  </cellStyleXfs>
  <cellXfs count="86">
    <xf applyAlignment="1" borderId="0" fillId="0" fontId="0" numFmtId="0" pivotButton="0" quotePrefix="0" xfId="0">
      <alignment vertical="center"/>
    </xf>
    <xf applyAlignment="1" borderId="0" fillId="0" fontId="3" numFmtId="0" pivotButton="0" quotePrefix="0" xfId="0">
      <alignment horizontal="center" vertical="center"/>
    </xf>
    <xf applyAlignment="1" borderId="0" fillId="0" fontId="0" numFmtId="164" pivotButton="0" quotePrefix="0" xfId="1">
      <alignment horizontal="center" vertical="center"/>
    </xf>
    <xf applyAlignment="1" borderId="0" fillId="0" fontId="3" numFmtId="0" pivotButton="0" quotePrefix="0" xfId="0">
      <alignment vertical="center"/>
    </xf>
    <xf applyAlignment="1" borderId="0" fillId="0" fontId="0" numFmtId="164" pivotButton="0" quotePrefix="0" xfId="1">
      <alignment vertical="center"/>
    </xf>
    <xf applyAlignment="1" borderId="0" fillId="0" fontId="1" numFmtId="0" pivotButton="0" quotePrefix="0" xfId="0">
      <alignment vertical="center"/>
    </xf>
    <xf applyAlignment="1" borderId="0" fillId="0" fontId="0" numFmtId="0" pivotButton="0" quotePrefix="0" xfId="0">
      <alignment horizontal="right" vertical="center"/>
    </xf>
    <xf applyAlignment="1" borderId="0" fillId="0" fontId="0" numFmtId="0" pivotButton="0" quotePrefix="0" xfId="0">
      <alignment horizontal="center" vertical="center"/>
    </xf>
    <xf borderId="0" fillId="0" fontId="0" numFmtId="0" pivotButton="0" quotePrefix="0" xfId="0"/>
    <xf applyAlignment="1" borderId="5" fillId="0" fontId="0" numFmtId="0" pivotButton="0" quotePrefix="0" xfId="0">
      <alignment horizontal="center" vertical="center"/>
    </xf>
    <xf applyAlignment="1" borderId="5" fillId="0" fontId="0" numFmtId="0" pivotButton="0" quotePrefix="0" xfId="0">
      <alignment horizontal="right" vertical="center"/>
    </xf>
    <xf applyAlignment="1" borderId="5" fillId="0" fontId="0" numFmtId="0" pivotButton="0" quotePrefix="0" xfId="0">
      <alignment vertical="center"/>
    </xf>
    <xf applyAlignment="1" borderId="5" fillId="0" fontId="0" numFmtId="0" pivotButton="0" quotePrefix="0" xfId="0">
      <alignment horizontal="left" vertical="center"/>
    </xf>
    <xf applyAlignment="1" borderId="5" fillId="0" fontId="3" numFmtId="0" pivotButton="0" quotePrefix="0" xfId="0">
      <alignment horizontal="left" vertical="center"/>
    </xf>
    <xf applyAlignment="1" borderId="5" fillId="0" fontId="0" numFmtId="0" pivotButton="0" quotePrefix="0" xfId="0">
      <alignment horizontal="right" vertical="center" wrapText="1"/>
    </xf>
    <xf applyAlignment="1" borderId="1" fillId="2" fontId="0" numFmtId="0" pivotButton="0" quotePrefix="0" xfId="0">
      <alignment horizontal="center" vertical="center"/>
    </xf>
    <xf applyAlignment="1" borderId="3" fillId="2" fontId="0" numFmtId="0" pivotButton="0" quotePrefix="0" xfId="0">
      <alignment horizontal="center" vertical="center"/>
    </xf>
    <xf applyAlignment="1" borderId="3" fillId="2" fontId="0" numFmtId="0" pivotButton="0" quotePrefix="0" xfId="0">
      <alignment horizontal="center" vertical="center" wrapText="1"/>
    </xf>
    <xf applyAlignment="1" borderId="3" fillId="2" fontId="0" numFmtId="164" pivotButton="0" quotePrefix="0" xfId="1">
      <alignment horizontal="center" vertical="center" wrapText="1"/>
    </xf>
    <xf applyAlignment="1" borderId="5" fillId="0" fontId="0" numFmtId="2" pivotButton="0" quotePrefix="0" xfId="1">
      <alignment horizontal="center" vertical="center" wrapText="1"/>
    </xf>
    <xf applyAlignment="1" borderId="6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right" vertical="center"/>
    </xf>
    <xf applyAlignment="1" borderId="9" fillId="0" fontId="0" numFmtId="0" pivotButton="0" quotePrefix="0" xfId="0">
      <alignment horizontal="center" vertical="center"/>
    </xf>
    <xf applyAlignment="1" borderId="10" fillId="0" fontId="0" numFmtId="0" pivotButton="0" quotePrefix="0" xfId="0">
      <alignment horizontal="right" vertical="center"/>
    </xf>
    <xf applyAlignment="1" borderId="12" fillId="0" fontId="0" numFmtId="0" pivotButton="0" quotePrefix="0" xfId="0">
      <alignment horizontal="center" vertical="center"/>
    </xf>
    <xf applyAlignment="1" borderId="13" fillId="0" fontId="0" numFmtId="0" pivotButton="0" quotePrefix="0" xfId="0">
      <alignment horizontal="right" vertical="center"/>
    </xf>
    <xf applyAlignment="1" borderId="15" fillId="0" fontId="0" numFmtId="0" pivotButton="0" quotePrefix="0" xfId="0">
      <alignment horizontal="right" vertical="center"/>
    </xf>
    <xf applyAlignment="1" borderId="18" fillId="0" fontId="0" numFmtId="0" pivotButton="0" quotePrefix="0" xfId="0">
      <alignment horizontal="right" vertical="center"/>
    </xf>
    <xf applyAlignment="1" borderId="20" fillId="0" fontId="6" numFmtId="0" pivotButton="0" quotePrefix="0" xfId="0">
      <alignment horizontal="right" vertical="center"/>
    </xf>
    <xf applyAlignment="1" borderId="8" fillId="0" fontId="1" numFmtId="165" pivotButton="0" quotePrefix="0" xfId="1">
      <alignment vertical="center"/>
    </xf>
    <xf applyAlignment="1" borderId="11" fillId="0" fontId="0" numFmtId="165" pivotButton="0" quotePrefix="0" xfId="0">
      <alignment vertical="center"/>
    </xf>
    <xf applyAlignment="1" borderId="14" fillId="0" fontId="0" numFmtId="165" pivotButton="0" quotePrefix="0" xfId="0">
      <alignment vertical="center"/>
    </xf>
    <xf applyAlignment="1" borderId="16" fillId="0" fontId="0" numFmtId="165" pivotButton="0" quotePrefix="0" xfId="1">
      <alignment vertical="center"/>
    </xf>
    <xf applyAlignment="1" borderId="21" fillId="0" fontId="6" numFmtId="166" pivotButton="0" quotePrefix="0" xfId="1">
      <alignment vertical="center"/>
    </xf>
    <xf applyAlignment="1" borderId="5" fillId="0" fontId="0" numFmtId="0" pivotButton="0" quotePrefix="0" xfId="1">
      <alignment horizontal="right" vertical="center" wrapText="1"/>
    </xf>
    <xf applyAlignment="1" borderId="4" fillId="0" fontId="5" numFmtId="0" pivotButton="0" quotePrefix="0" xfId="0">
      <alignment horizontal="center" vertical="center" wrapText="1"/>
    </xf>
    <xf applyAlignment="1" borderId="17" fillId="0" fontId="0" numFmtId="0" pivotButton="0" quotePrefix="0" xfId="0">
      <alignment horizontal="center"/>
    </xf>
    <xf applyAlignment="1" borderId="19" fillId="0" fontId="0" numFmtId="0" pivotButton="0" quotePrefix="0" xfId="0">
      <alignment horizontal="center"/>
    </xf>
    <xf applyAlignment="1" borderId="0" fillId="0" fontId="4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1" fillId="2" fontId="0" numFmtId="0" pivotButton="0" quotePrefix="0" xfId="0">
      <alignment horizontal="center" vertical="center"/>
    </xf>
    <xf applyAlignment="1" borderId="5" fillId="0" fontId="0" numFmtId="0" pivotButton="0" quotePrefix="0" xfId="0">
      <alignment vertical="center"/>
    </xf>
    <xf applyAlignment="1" borderId="1" fillId="2" fontId="0" numFmtId="0" pivotButton="0" quotePrefix="0" xfId="0">
      <alignment horizontal="center" vertical="center" wrapText="1"/>
    </xf>
    <xf applyAlignment="1" borderId="2" fillId="0" fontId="0" numFmtId="0" pivotButton="0" quotePrefix="0" xfId="0">
      <alignment vertical="center"/>
    </xf>
    <xf applyAlignment="1" borderId="1" fillId="2" fontId="3" numFmtId="0" pivotButton="0" quotePrefix="0" xfId="0">
      <alignment horizontal="center" vertical="center"/>
    </xf>
    <xf applyAlignment="1" borderId="3" fillId="2" fontId="0" numFmtId="0" pivotButton="0" quotePrefix="0" xfId="0">
      <alignment horizontal="center" vertical="center"/>
    </xf>
    <xf applyAlignment="1" borderId="0" fillId="0" fontId="0" numFmtId="164" pivotButton="0" quotePrefix="0" xfId="1">
      <alignment vertical="center"/>
    </xf>
    <xf applyAlignment="1" borderId="0" fillId="0" fontId="0" numFmtId="164" pivotButton="0" quotePrefix="0" xfId="1">
      <alignment horizontal="center" vertical="center"/>
    </xf>
    <xf applyAlignment="1" borderId="30" fillId="0" fontId="0" numFmtId="0" pivotButton="0" quotePrefix="0" xfId="0">
      <alignment horizontal="center" vertical="center"/>
    </xf>
    <xf applyAlignment="1" borderId="31" fillId="0" fontId="0" numFmtId="0" pivotButton="0" quotePrefix="0" xfId="0">
      <alignment horizontal="right" vertical="center"/>
    </xf>
    <xf applyAlignment="1" borderId="32" fillId="0" fontId="1" numFmtId="165" pivotButton="0" quotePrefix="0" xfId="1">
      <alignment vertical="center"/>
    </xf>
    <xf applyAlignment="1" borderId="33" fillId="0" fontId="0" numFmtId="0" pivotButton="0" quotePrefix="0" xfId="0">
      <alignment horizontal="center" vertical="center"/>
    </xf>
    <xf applyAlignment="1" borderId="34" fillId="0" fontId="0" numFmtId="165" pivotButton="0" quotePrefix="0" xfId="0">
      <alignment vertical="center"/>
    </xf>
    <xf applyAlignment="1" borderId="35" fillId="0" fontId="0" numFmtId="0" pivotButton="0" quotePrefix="0" xfId="0">
      <alignment horizontal="center" vertical="center"/>
    </xf>
    <xf applyAlignment="1" borderId="36" fillId="0" fontId="0" numFmtId="165" pivotButton="0" quotePrefix="0" xfId="0">
      <alignment vertical="center"/>
    </xf>
    <xf applyAlignment="1" borderId="37" fillId="0" fontId="5" numFmtId="0" pivotButton="0" quotePrefix="0" xfId="0">
      <alignment horizontal="center" vertical="center" wrapText="1"/>
    </xf>
    <xf applyAlignment="1" borderId="38" fillId="0" fontId="0" numFmtId="165" pivotButton="0" quotePrefix="0" xfId="1">
      <alignment vertical="center"/>
    </xf>
    <xf borderId="39" fillId="0" fontId="0" numFmtId="0" pivotButton="0" quotePrefix="0" xfId="0"/>
    <xf borderId="40" fillId="0" fontId="0" numFmtId="0" pivotButton="0" quotePrefix="0" xfId="0"/>
    <xf applyAlignment="1" borderId="41" fillId="0" fontId="6" numFmtId="0" pivotButton="0" quotePrefix="0" xfId="0">
      <alignment horizontal="right" vertical="center"/>
    </xf>
    <xf applyAlignment="1" borderId="42" fillId="0" fontId="6" numFmtId="166" pivotButton="0" quotePrefix="0" xfId="1">
      <alignment vertical="center"/>
    </xf>
    <xf applyAlignment="1" borderId="27" fillId="2" fontId="0" numFmtId="0" pivotButton="0" quotePrefix="0" xfId="0">
      <alignment horizontal="center" vertical="center"/>
    </xf>
    <xf applyAlignment="1" borderId="27" fillId="2" fontId="0" numFmtId="0" pivotButton="0" quotePrefix="0" xfId="0">
      <alignment horizontal="center" vertical="center" wrapText="1"/>
    </xf>
    <xf applyAlignment="1" borderId="29" fillId="2" fontId="0" numFmtId="0" pivotButton="0" quotePrefix="0" xfId="0">
      <alignment horizontal="center" vertical="center"/>
    </xf>
    <xf applyAlignment="1" borderId="27" fillId="2" fontId="3" numFmtId="0" pivotButton="0" quotePrefix="0" xfId="0">
      <alignment horizontal="center" vertical="center"/>
    </xf>
    <xf applyAlignment="1" borderId="22" fillId="2" fontId="0" numFmtId="0" pivotButton="0" quotePrefix="0" xfId="0">
      <alignment horizontal="center" vertical="center" wrapText="1"/>
    </xf>
    <xf borderId="25" fillId="0" fontId="0" numFmtId="0" pivotButton="0" quotePrefix="0" xfId="0"/>
    <xf borderId="28" fillId="0" fontId="0" numFmtId="0" pivotButton="0" quotePrefix="0" xfId="0"/>
    <xf applyAlignment="1" borderId="3" fillId="2" fontId="0" numFmtId="164" pivotButton="0" quotePrefix="0" xfId="1">
      <alignment horizontal="center" vertical="center" wrapText="1"/>
    </xf>
    <xf applyAlignment="1" borderId="22" fillId="0" fontId="0" numFmtId="2" pivotButton="0" quotePrefix="0" xfId="1">
      <alignment horizontal="center" vertical="center" wrapText="1"/>
    </xf>
    <xf applyAlignment="1" borderId="23" fillId="0" fontId="0" numFmtId="0" pivotButton="0" quotePrefix="0" xfId="0">
      <alignment horizontal="center" vertical="center"/>
    </xf>
    <xf applyAlignment="1" borderId="23" fillId="0" fontId="0" numFmtId="0" pivotButton="0" quotePrefix="0" xfId="0">
      <alignment horizontal="right" vertical="center"/>
    </xf>
    <xf applyAlignment="1" borderId="23" fillId="0" fontId="0" numFmtId="0" pivotButton="0" quotePrefix="0" xfId="0">
      <alignment vertical="center"/>
    </xf>
    <xf applyAlignment="1" borderId="23" fillId="0" fontId="0" numFmtId="0" pivotButton="0" quotePrefix="0" xfId="0">
      <alignment horizontal="left" vertical="center"/>
    </xf>
    <xf applyAlignment="1" borderId="23" fillId="0" fontId="3" numFmtId="0" pivotButton="0" quotePrefix="0" xfId="0">
      <alignment horizontal="left" vertical="center"/>
    </xf>
    <xf applyAlignment="1" borderId="23" fillId="0" fontId="0" numFmtId="0" pivotButton="0" quotePrefix="0" xfId="0">
      <alignment horizontal="right" vertical="center" wrapText="1"/>
    </xf>
    <xf applyAlignment="1" borderId="24" fillId="0" fontId="0" numFmtId="0" pivotButton="0" quotePrefix="0" xfId="1">
      <alignment horizontal="right" vertical="center" wrapText="1"/>
    </xf>
    <xf borderId="0" fillId="0" fontId="1" numFmtId="0" pivotButton="0" quotePrefix="0" xfId="0"/>
    <xf applyAlignment="1" borderId="22" fillId="0" fontId="1" numFmtId="2" pivotButton="0" quotePrefix="0" xfId="0">
      <alignment horizontal="center" vertical="center" wrapText="1"/>
    </xf>
    <xf applyAlignment="1" borderId="23" fillId="0" fontId="1" numFmtId="0" pivotButton="0" quotePrefix="0" xfId="0">
      <alignment horizontal="center" vertical="center"/>
    </xf>
    <xf applyAlignment="1" borderId="23" fillId="0" fontId="1" numFmtId="0" pivotButton="0" quotePrefix="0" xfId="0">
      <alignment horizontal="right" vertical="center"/>
    </xf>
    <xf applyAlignment="1" borderId="23" fillId="0" fontId="1" numFmtId="0" pivotButton="0" quotePrefix="0" xfId="0">
      <alignment vertical="center"/>
    </xf>
    <xf applyAlignment="1" borderId="23" fillId="0" fontId="1" numFmtId="0" pivotButton="0" quotePrefix="0" xfId="0">
      <alignment horizontal="left" vertical="center"/>
    </xf>
    <xf applyAlignment="1" borderId="23" fillId="0" fontId="1" numFmtId="0" pivotButton="0" quotePrefix="0" xfId="0">
      <alignment horizontal="right" vertical="center" wrapText="1"/>
    </xf>
    <xf applyAlignment="1" borderId="26" fillId="0" fontId="0" numFmtId="0" pivotButton="0" quotePrefix="0" xfId="0">
      <alignment horizontal="center"/>
    </xf>
    <xf applyAlignment="1" borderId="0" fillId="0" fontId="0" numFmtId="0" pivotButton="0" quotePrefix="0" xfId="0">
      <alignment vertical="top" wrapText="1"/>
    </xf>
  </cellXfs>
  <cellStyles count="5">
    <cellStyle builtinId="0" name="표준" xfId="0"/>
    <cellStyle builtinId="6" name="쉼표 [0]" xfId="1"/>
    <cellStyle name="표준 3 2 2" xfId="2"/>
    <cellStyle name="표준 2" xfId="3"/>
    <cellStyle name="표준 20 2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drawings/_rels/drawing1.xml.rels><Relationships xmlns="http://schemas.openxmlformats.org/package/2006/relationships"><Relationship Id="rId1" Target="../media/image1.png" Type="http://schemas.openxmlformats.org/officeDocument/2006/relationships/image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38575" cy="1295400"/>
    <pic>
      <nvPicPr>
        <cNvPr descr="Picture" id="1" name="Image 1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159"/>
  <sheetViews>
    <sheetView showGridLines="0" tabSelected="1" workbookViewId="0" zoomScaleNormal="100">
      <selection activeCell="B1" sqref="B1"/>
    </sheetView>
  </sheetViews>
  <sheetFormatPr baseColWidth="10" defaultColWidth="8.83203125" defaultRowHeight="15" outlineLevelCol="0"/>
  <cols>
    <col customWidth="1" max="1" min="1" style="8" width="0.83203125"/>
    <col customWidth="1" max="2" min="2" style="8" width="25"/>
    <col bestFit="1" customWidth="1" max="3" min="3" style="8" width="8.83203125"/>
    <col bestFit="1" customWidth="1" max="4" min="4" style="8" width="13"/>
    <col bestFit="1" customWidth="1" max="5" min="5" style="8" width="13.83203125"/>
    <col bestFit="1" customWidth="1" max="6" min="6" style="8" width="13"/>
    <col bestFit="1" customWidth="1" max="7" min="7" style="8" width="9.33203125"/>
    <col customWidth="1" max="9" min="8" style="8" width="21.5"/>
    <col customWidth="1" max="10" min="10" style="3" width="57.1640625"/>
    <col customWidth="1" max="11" min="11" style="8" width="21.5"/>
    <col customWidth="1" max="12" min="12" style="8" width="15.6640625"/>
    <col bestFit="1" customWidth="1" max="13" min="13" style="46" width="13.5"/>
  </cols>
  <sheetData>
    <row customFormat="1" r="1" s="39" spans="1:13">
      <c r="J1" s="1" t="n"/>
      <c r="M1" s="47" t="n"/>
    </row>
    <row customFormat="1" customHeight="1" ht="31.5" r="2" s="39" spans="1:13">
      <c r="B2" s="38" t="s">
        <v>0</v>
      </c>
    </row>
    <row customFormat="1" customHeight="1" ht="20.25" r="3" s="39" spans="1:13">
      <c r="J3" s="1" t="n"/>
      <c r="L3" s="6" t="s">
        <v>1</v>
      </c>
      <c r="M3" s="6" t="s">
        <v>2</v>
      </c>
    </row>
    <row customFormat="1" customHeight="1" ht="20.25" r="4" s="39" spans="1:13">
      <c r="J4" s="1" t="n"/>
      <c r="L4" s="6" t="n"/>
      <c r="M4" s="6" t="n"/>
    </row>
    <row customHeight="1" ht="30" r="5" s="8" spans="1:13">
      <c r="K5" s="48" t="n"/>
      <c r="L5" s="49" t="s">
        <v>3</v>
      </c>
      <c r="M5" s="50" t="n">
        <v>16862</v>
      </c>
    </row>
    <row customHeight="1" ht="30" r="6" s="8" spans="1:13">
      <c r="K6" s="51" t="n"/>
      <c r="L6" s="23" t="s">
        <v>4</v>
      </c>
      <c r="M6" s="52">
        <f>ROUNDDOWN(M137, 0)</f>
        <v/>
      </c>
    </row>
    <row customHeight="1" ht="30" r="7" s="8" spans="1:13" thickBot="1">
      <c r="K7" s="53" t="n"/>
      <c r="L7" s="25" t="s">
        <v>5</v>
      </c>
      <c r="M7" s="54">
        <f>ROUNDDOWN(F138 * 1369.68, 0)</f>
        <v/>
      </c>
    </row>
    <row customHeight="1" ht="30" r="8" s="8" spans="1:13">
      <c r="K8" s="55" t="s">
        <v>6</v>
      </c>
      <c r="L8" s="26" t="s">
        <v>7</v>
      </c>
      <c r="M8" s="56">
        <f>IF((M5+M6-M7)&gt;0,M5+M6-M7,0)</f>
        <v/>
      </c>
    </row>
    <row customHeight="1" ht="30" r="9" s="8" spans="1:13">
      <c r="K9" s="57" t="n"/>
      <c r="L9" s="27" t="s">
        <v>8</v>
      </c>
      <c r="M9" s="52">
        <f>ROUNDDOWN(M8*0.033, 0)</f>
        <v/>
      </c>
    </row>
    <row customHeight="1" ht="30" r="10" s="8" spans="1:13">
      <c r="K10" s="58" t="n"/>
      <c r="L10" s="59" t="s">
        <v>9</v>
      </c>
      <c r="M10" s="60">
        <f>M8-M9</f>
        <v/>
      </c>
    </row>
    <row r="11" spans="1:13"/>
    <row customHeight="1" ht="22" r="12" s="8" spans="1:13">
      <c r="K12" s="3" t="s">
        <v>10</v>
      </c>
      <c r="L12" s="3" t="n"/>
      <c r="M12" s="3" t="n"/>
    </row>
    <row customHeight="1" ht="22" r="13" s="8" spans="1:13">
      <c r="K13" s="3" t="s">
        <v>11</v>
      </c>
      <c r="L13" s="3" t="n"/>
      <c r="M13" s="3" t="n"/>
    </row>
    <row customHeight="1" ht="22" r="14" s="8" spans="1:13">
      <c r="K14" t="s">
        <v>12</v>
      </c>
    </row>
    <row customFormat="1" customHeight="1" ht="13.5" r="15" s="39" spans="1:13">
      <c r="J15" s="1" t="n"/>
      <c r="M15" s="47" t="n"/>
    </row>
    <row customFormat="1" r="16" s="39" spans="1:13">
      <c r="B16" s="61" t="s">
        <v>13</v>
      </c>
      <c r="C16" s="61" t="s">
        <v>14</v>
      </c>
      <c r="D16" s="62" t="s">
        <v>15</v>
      </c>
      <c r="E16" s="40" t="s">
        <v>16</v>
      </c>
      <c r="F16" s="62" t="s">
        <v>17</v>
      </c>
      <c r="G16" s="61" t="s">
        <v>18</v>
      </c>
      <c r="H16" s="63" t="s">
        <v>19</v>
      </c>
      <c r="I16" s="61" t="s">
        <v>20</v>
      </c>
      <c r="J16" s="64" t="s">
        <v>21</v>
      </c>
      <c r="K16" s="61" t="s">
        <v>22</v>
      </c>
      <c r="L16" s="65" t="s">
        <v>23</v>
      </c>
      <c r="M16" s="66" t="n"/>
    </row>
    <row customFormat="1" customHeight="1" ht="16" r="17" s="39" spans="1:13">
      <c r="B17" s="67" t="n"/>
      <c r="C17" s="67" t="n"/>
      <c r="D17" s="67" t="n"/>
      <c r="E17" s="45" t="s">
        <v>24</v>
      </c>
      <c r="F17" s="67" t="n"/>
      <c r="G17" s="67" t="n"/>
      <c r="H17" s="67" t="n"/>
      <c r="I17" s="67" t="n"/>
      <c r="J17" s="67" t="n"/>
      <c r="K17" s="67" t="n"/>
      <c r="L17" s="17" t="s">
        <v>25</v>
      </c>
      <c r="M17" s="68" t="s">
        <v>26</v>
      </c>
    </row>
    <row customFormat="1" r="18" s="39" spans="1:13">
      <c r="B18" s="69" t="s">
        <v>27</v>
      </c>
      <c r="C18" s="70" t="n">
        <v>2</v>
      </c>
      <c r="D18" s="71" t="n">
        <v>4.754169</v>
      </c>
      <c r="E18" s="71">
        <f>C18*D18</f>
        <v/>
      </c>
      <c r="F18" s="71" t="n">
        <v>9.508338</v>
      </c>
      <c r="G18" s="70" t="s">
        <v>28</v>
      </c>
      <c r="H18" s="72" t="s">
        <v>29</v>
      </c>
      <c r="I18" s="73" t="s">
        <v>30</v>
      </c>
      <c r="J18" s="74" t="s">
        <v>31</v>
      </c>
      <c r="K18" s="73" t="s">
        <v>32</v>
      </c>
      <c r="L18" s="75">
        <f>0.85 * F18</f>
        <v/>
      </c>
      <c r="M18" s="76" t="n">
        <v>8.0820873</v>
      </c>
    </row>
    <row customFormat="1" r="19" s="39" spans="1:13">
      <c r="A19" s="77" t="n"/>
      <c r="B19" s="78" t="s">
        <v>27</v>
      </c>
      <c r="C19" s="79" t="n">
        <v>2</v>
      </c>
      <c r="D19" s="80" t="n">
        <v>4.754169</v>
      </c>
      <c r="E19" s="80">
        <f>C19*D19</f>
        <v/>
      </c>
      <c r="F19" s="80" t="n">
        <v>9.508338</v>
      </c>
      <c r="G19" s="79" t="s">
        <v>28</v>
      </c>
      <c r="H19" s="81" t="s">
        <v>33</v>
      </c>
      <c r="I19" s="82" t="s">
        <v>30</v>
      </c>
      <c r="J19" s="74" t="s">
        <v>33</v>
      </c>
      <c r="K19" s="82" t="s">
        <v>32</v>
      </c>
      <c r="L19" s="83">
        <f>0.85 * F19</f>
        <v/>
      </c>
      <c r="M19" s="66" t="n">
        <v>8.0820873</v>
      </c>
    </row>
    <row customFormat="1" r="20" s="39" spans="1:13">
      <c r="A20" s="77" t="n"/>
      <c r="B20" s="78" t="s">
        <v>27</v>
      </c>
      <c r="C20" s="79" t="n">
        <v>1</v>
      </c>
      <c r="D20" s="80" t="n">
        <v>4.754169</v>
      </c>
      <c r="E20" s="80">
        <f>C20*D20</f>
        <v/>
      </c>
      <c r="F20" s="80" t="n">
        <v>4.754169</v>
      </c>
      <c r="G20" s="79" t="s">
        <v>28</v>
      </c>
      <c r="H20" s="81" t="s">
        <v>34</v>
      </c>
      <c r="I20" s="82" t="s">
        <v>30</v>
      </c>
      <c r="J20" s="74" t="s">
        <v>35</v>
      </c>
      <c r="K20" s="82" t="s">
        <v>32</v>
      </c>
      <c r="L20" s="83">
        <f>0.85 * F20</f>
        <v/>
      </c>
      <c r="M20" s="66" t="n">
        <v>4.04104365</v>
      </c>
    </row>
    <row customFormat="1" r="21" s="39" spans="1:13">
      <c r="A21" s="77" t="n"/>
      <c r="B21" s="78" t="s">
        <v>27</v>
      </c>
      <c r="C21" s="79" t="n">
        <v>1</v>
      </c>
      <c r="D21" s="80" t="n">
        <v>4.754169</v>
      </c>
      <c r="E21" s="80">
        <f>C21*D21</f>
        <v/>
      </c>
      <c r="F21" s="80" t="n">
        <v>4.754169</v>
      </c>
      <c r="G21" s="79" t="s">
        <v>28</v>
      </c>
      <c r="H21" s="81" t="s">
        <v>36</v>
      </c>
      <c r="I21" s="82" t="s">
        <v>30</v>
      </c>
      <c r="J21" s="74" t="s">
        <v>37</v>
      </c>
      <c r="K21" s="82" t="s">
        <v>32</v>
      </c>
      <c r="L21" s="83">
        <f>0.85 * F21</f>
        <v/>
      </c>
      <c r="M21" s="66" t="n">
        <v>4.04104365</v>
      </c>
    </row>
    <row customFormat="1" r="22" s="39" spans="1:13">
      <c r="A22" s="77" t="n"/>
      <c r="B22" s="78" t="s">
        <v>27</v>
      </c>
      <c r="C22" s="79" t="n">
        <v>1</v>
      </c>
      <c r="D22" s="80" t="n">
        <v>6.753743</v>
      </c>
      <c r="E22" s="80">
        <f>C22*D22</f>
        <v/>
      </c>
      <c r="F22" s="80" t="n">
        <v>6.753743</v>
      </c>
      <c r="G22" s="79" t="s">
        <v>28</v>
      </c>
      <c r="H22" s="81" t="s">
        <v>36</v>
      </c>
      <c r="I22" s="82" t="s">
        <v>30</v>
      </c>
      <c r="J22" s="74" t="s">
        <v>37</v>
      </c>
      <c r="K22" s="82" t="s">
        <v>32</v>
      </c>
      <c r="L22" s="83">
        <f>0.85 * F22</f>
        <v/>
      </c>
      <c r="M22" s="66" t="n">
        <v>5.74068155</v>
      </c>
    </row>
    <row customFormat="1" r="23" s="39" spans="1:13">
      <c r="A23" s="77" t="n"/>
      <c r="B23" s="78" t="s">
        <v>27</v>
      </c>
      <c r="C23" s="79" t="n">
        <v>8</v>
      </c>
      <c r="D23" s="80" t="n">
        <v>3.126932</v>
      </c>
      <c r="E23" s="80">
        <f>C23*D23</f>
        <v/>
      </c>
      <c r="F23" s="80" t="n">
        <v>25.015456</v>
      </c>
      <c r="G23" s="79" t="s">
        <v>28</v>
      </c>
      <c r="H23" s="81" t="s">
        <v>36</v>
      </c>
      <c r="I23" s="82" t="s">
        <v>30</v>
      </c>
      <c r="J23" s="74" t="s">
        <v>37</v>
      </c>
      <c r="K23" s="82" t="s">
        <v>32</v>
      </c>
      <c r="L23" s="83">
        <f>0.85 * F23</f>
        <v/>
      </c>
      <c r="M23" s="66" t="n">
        <v>21.2631376</v>
      </c>
    </row>
    <row customFormat="1" r="24" s="39" spans="1:13">
      <c r="A24" s="77" t="n"/>
      <c r="B24" s="78" t="s">
        <v>27</v>
      </c>
      <c r="C24" s="79" t="n">
        <v>1</v>
      </c>
      <c r="D24" s="80" t="n">
        <v>4.754169</v>
      </c>
      <c r="E24" s="80">
        <f>C24*D24</f>
        <v/>
      </c>
      <c r="F24" s="80" t="n">
        <v>4.754169</v>
      </c>
      <c r="G24" s="79" t="s">
        <v>28</v>
      </c>
      <c r="H24" s="81" t="s">
        <v>38</v>
      </c>
      <c r="I24" s="82" t="s">
        <v>30</v>
      </c>
      <c r="J24" s="74" t="s">
        <v>38</v>
      </c>
      <c r="K24" s="82" t="s">
        <v>32</v>
      </c>
      <c r="L24" s="83">
        <f>0.85 * F24</f>
        <v/>
      </c>
      <c r="M24" s="66" t="n">
        <v>4.04104365</v>
      </c>
    </row>
    <row customFormat="1" r="25" s="39" spans="1:13">
      <c r="A25" s="77" t="n"/>
      <c r="B25" s="78" t="s">
        <v>27</v>
      </c>
      <c r="C25" s="79" t="n">
        <v>1</v>
      </c>
      <c r="D25" s="80" t="n">
        <v>0.0117333333333333</v>
      </c>
      <c r="E25" s="80">
        <f>C25*D25</f>
        <v/>
      </c>
      <c r="F25" s="80" t="n">
        <v>0.01056</v>
      </c>
      <c r="G25" s="79" t="s">
        <v>39</v>
      </c>
      <c r="H25" s="81" t="s">
        <v>40</v>
      </c>
      <c r="I25" s="82" t="s">
        <v>30</v>
      </c>
      <c r="J25" s="74" t="s">
        <v>41</v>
      </c>
      <c r="K25" s="82" t="s">
        <v>32</v>
      </c>
      <c r="L25" s="83">
        <f>0.85 * F25</f>
        <v/>
      </c>
      <c r="M25" s="66" t="n">
        <v>16.56350256</v>
      </c>
    </row>
    <row customFormat="1" r="26" s="39" spans="1:13">
      <c r="A26" s="77" t="n"/>
      <c r="B26" s="78" t="s">
        <v>27</v>
      </c>
      <c r="C26" s="79" t="n">
        <v>1</v>
      </c>
      <c r="D26" s="80" t="n">
        <v>4.754169</v>
      </c>
      <c r="E26" s="80">
        <f>C26*D26</f>
        <v/>
      </c>
      <c r="F26" s="80" t="n">
        <v>4.754169</v>
      </c>
      <c r="G26" s="79" t="s">
        <v>28</v>
      </c>
      <c r="H26" s="81" t="s">
        <v>34</v>
      </c>
      <c r="I26" s="82" t="s">
        <v>30</v>
      </c>
      <c r="J26" s="74" t="s">
        <v>42</v>
      </c>
      <c r="K26" s="82" t="s">
        <v>32</v>
      </c>
      <c r="L26" s="83">
        <f>0.85 * F26</f>
        <v/>
      </c>
      <c r="M26" s="66" t="n">
        <v>4.04104365</v>
      </c>
    </row>
    <row customFormat="1" r="27" s="39" spans="1:13">
      <c r="A27" s="77" t="n"/>
      <c r="B27" s="78" t="s">
        <v>27</v>
      </c>
      <c r="C27" s="79" t="n">
        <v>1</v>
      </c>
      <c r="D27" s="80" t="n">
        <v>0.004384</v>
      </c>
      <c r="E27" s="80">
        <f>C27*D27</f>
        <v/>
      </c>
      <c r="F27" s="80" t="n">
        <v>0.0039456</v>
      </c>
      <c r="G27" s="79" t="s">
        <v>43</v>
      </c>
      <c r="H27" s="81" t="s">
        <v>40</v>
      </c>
      <c r="I27" s="82" t="s">
        <v>30</v>
      </c>
      <c r="J27" s="74" t="s">
        <v>44</v>
      </c>
      <c r="K27" s="82" t="s">
        <v>32</v>
      </c>
      <c r="L27" s="83">
        <f>0.85 * F27</f>
        <v/>
      </c>
      <c r="M27" s="66" t="n">
        <v>4.59357799</v>
      </c>
    </row>
    <row customFormat="1" r="28" s="39" spans="1:13">
      <c r="A28" s="77" t="n"/>
      <c r="B28" s="78" t="s">
        <v>27</v>
      </c>
      <c r="C28" s="79" t="n">
        <v>1</v>
      </c>
      <c r="D28" s="80" t="n">
        <v>4.754169</v>
      </c>
      <c r="E28" s="80">
        <f>C28*D28</f>
        <v/>
      </c>
      <c r="F28" s="80" t="n">
        <v>4.754169</v>
      </c>
      <c r="G28" s="79" t="s">
        <v>28</v>
      </c>
      <c r="H28" s="81" t="s">
        <v>45</v>
      </c>
      <c r="I28" s="82" t="s">
        <v>30</v>
      </c>
      <c r="J28" s="74" t="s">
        <v>45</v>
      </c>
      <c r="K28" s="82" t="s">
        <v>32</v>
      </c>
      <c r="L28" s="83">
        <f>0.85 * F28</f>
        <v/>
      </c>
      <c r="M28" s="66" t="n">
        <v>4.04104365</v>
      </c>
    </row>
    <row customFormat="1" r="29" s="39" spans="1:13">
      <c r="A29" s="77" t="n"/>
      <c r="B29" s="78" t="s">
        <v>27</v>
      </c>
      <c r="C29" s="79" t="n">
        <v>1</v>
      </c>
      <c r="D29" s="80" t="n">
        <v>0.008193000000000001</v>
      </c>
      <c r="E29" s="80">
        <f>C29*D29</f>
        <v/>
      </c>
      <c r="F29" s="80" t="n">
        <v>0.0073737</v>
      </c>
      <c r="G29" s="79" t="s">
        <v>43</v>
      </c>
      <c r="H29" s="81" t="s">
        <v>34</v>
      </c>
      <c r="I29" s="82" t="s">
        <v>30</v>
      </c>
      <c r="J29" s="74" t="s">
        <v>46</v>
      </c>
      <c r="K29" s="82" t="s">
        <v>32</v>
      </c>
      <c r="L29" s="83">
        <f>0.85 * F29</f>
        <v/>
      </c>
      <c r="M29" s="66" t="n">
        <v>8.584667998499999</v>
      </c>
    </row>
    <row customFormat="1" r="30" s="39" spans="1:13">
      <c r="A30" s="77" t="n"/>
      <c r="B30" s="78" t="s">
        <v>27</v>
      </c>
      <c r="C30" s="79" t="n">
        <v>1</v>
      </c>
      <c r="D30" s="80" t="n">
        <v>4.754169</v>
      </c>
      <c r="E30" s="80">
        <f>C30*D30</f>
        <v/>
      </c>
      <c r="F30" s="80" t="n">
        <v>4.754169</v>
      </c>
      <c r="G30" s="79" t="s">
        <v>28</v>
      </c>
      <c r="H30" s="81" t="s">
        <v>34</v>
      </c>
      <c r="I30" s="82" t="s">
        <v>30</v>
      </c>
      <c r="J30" s="74" t="s">
        <v>46</v>
      </c>
      <c r="K30" s="82" t="s">
        <v>32</v>
      </c>
      <c r="L30" s="83">
        <f>0.85 * F30</f>
        <v/>
      </c>
      <c r="M30" s="66" t="n">
        <v>4.04104365</v>
      </c>
    </row>
    <row customFormat="1" r="31" s="39" spans="1:13">
      <c r="A31" s="77" t="n"/>
      <c r="B31" s="78" t="s">
        <v>27</v>
      </c>
      <c r="C31" s="79" t="n">
        <v>2</v>
      </c>
      <c r="D31" s="80" t="n">
        <v>4.754169</v>
      </c>
      <c r="E31" s="80">
        <f>C31*D31</f>
        <v/>
      </c>
      <c r="F31" s="80" t="n">
        <v>9.508338</v>
      </c>
      <c r="G31" s="79" t="s">
        <v>28</v>
      </c>
      <c r="H31" s="81" t="s">
        <v>47</v>
      </c>
      <c r="I31" s="82" t="s">
        <v>30</v>
      </c>
      <c r="J31" s="74" t="s">
        <v>47</v>
      </c>
      <c r="K31" s="82" t="s">
        <v>32</v>
      </c>
      <c r="L31" s="83">
        <f>0.85 * F31</f>
        <v/>
      </c>
      <c r="M31" s="66" t="n">
        <v>8.0820873</v>
      </c>
    </row>
    <row customFormat="1" r="32" s="39" spans="1:13">
      <c r="A32" s="77" t="n"/>
      <c r="B32" s="78" t="s">
        <v>27</v>
      </c>
      <c r="C32" s="79" t="n">
        <v>1</v>
      </c>
      <c r="D32" s="80" t="n">
        <v>4.754169</v>
      </c>
      <c r="E32" s="80">
        <f>C32*D32</f>
        <v/>
      </c>
      <c r="F32" s="80" t="n">
        <v>4.754169</v>
      </c>
      <c r="G32" s="79" t="s">
        <v>28</v>
      </c>
      <c r="H32" s="81" t="s">
        <v>40</v>
      </c>
      <c r="I32" s="82" t="s">
        <v>30</v>
      </c>
      <c r="J32" s="74" t="s">
        <v>48</v>
      </c>
      <c r="K32" s="82" t="s">
        <v>32</v>
      </c>
      <c r="L32" s="83">
        <f>0.85 * F32</f>
        <v/>
      </c>
      <c r="M32" s="66" t="n">
        <v>4.04104365</v>
      </c>
    </row>
    <row customFormat="1" r="33" s="39" spans="1:13">
      <c r="A33" s="77" t="n"/>
      <c r="B33" s="78" t="s">
        <v>27</v>
      </c>
      <c r="C33" s="79" t="n">
        <v>1</v>
      </c>
      <c r="D33" s="80" t="n">
        <v>4.754169</v>
      </c>
      <c r="E33" s="80">
        <f>C33*D33</f>
        <v/>
      </c>
      <c r="F33" s="80" t="n">
        <v>4.754169</v>
      </c>
      <c r="G33" s="79" t="s">
        <v>28</v>
      </c>
      <c r="H33" s="81" t="s">
        <v>49</v>
      </c>
      <c r="I33" s="82" t="s">
        <v>30</v>
      </c>
      <c r="J33" s="74" t="s">
        <v>50</v>
      </c>
      <c r="K33" s="82" t="s">
        <v>32</v>
      </c>
      <c r="L33" s="83">
        <f>0.85 * F33</f>
        <v/>
      </c>
      <c r="M33" s="66" t="n">
        <v>4.04104365</v>
      </c>
    </row>
    <row customFormat="1" r="34" s="39" spans="1:13">
      <c r="A34" s="77" t="n"/>
      <c r="B34" s="78" t="s">
        <v>27</v>
      </c>
      <c r="C34" s="79" t="n">
        <v>2</v>
      </c>
      <c r="D34" s="80" t="n">
        <v>4.754169</v>
      </c>
      <c r="E34" s="80">
        <f>C34*D34</f>
        <v/>
      </c>
      <c r="F34" s="80" t="n">
        <v>9.508338</v>
      </c>
      <c r="G34" s="79" t="s">
        <v>28</v>
      </c>
      <c r="H34" s="81" t="s">
        <v>49</v>
      </c>
      <c r="I34" s="82" t="s">
        <v>30</v>
      </c>
      <c r="J34" s="74" t="s">
        <v>51</v>
      </c>
      <c r="K34" s="82" t="s">
        <v>32</v>
      </c>
      <c r="L34" s="83">
        <f>0.85 * F34</f>
        <v/>
      </c>
      <c r="M34" s="66" t="n">
        <v>8.0820873</v>
      </c>
    </row>
    <row customFormat="1" r="35" s="39" spans="1:13">
      <c r="A35" s="77" t="n"/>
      <c r="B35" s="78" t="s">
        <v>27</v>
      </c>
      <c r="C35" s="79" t="n">
        <v>1</v>
      </c>
      <c r="D35" s="80" t="n">
        <v>4.754169</v>
      </c>
      <c r="E35" s="80">
        <f>C35*D35</f>
        <v/>
      </c>
      <c r="F35" s="80" t="n">
        <v>4.754169</v>
      </c>
      <c r="G35" s="79" t="s">
        <v>28</v>
      </c>
      <c r="H35" s="81" t="s">
        <v>36</v>
      </c>
      <c r="I35" s="82" t="s">
        <v>30</v>
      </c>
      <c r="J35" s="74" t="s">
        <v>52</v>
      </c>
      <c r="K35" s="82" t="s">
        <v>32</v>
      </c>
      <c r="L35" s="83">
        <f>0.85 * F35</f>
        <v/>
      </c>
      <c r="M35" s="66" t="n">
        <v>4.04104365</v>
      </c>
    </row>
    <row customFormat="1" r="36" s="39" spans="1:13">
      <c r="A36" s="77" t="n"/>
      <c r="B36" s="78" t="s">
        <v>27</v>
      </c>
      <c r="C36" s="79" t="n">
        <v>1</v>
      </c>
      <c r="D36" s="80" t="n">
        <v>4.754169</v>
      </c>
      <c r="E36" s="80">
        <f>C36*D36</f>
        <v/>
      </c>
      <c r="F36" s="80" t="n">
        <v>4.754169</v>
      </c>
      <c r="G36" s="79" t="s">
        <v>28</v>
      </c>
      <c r="H36" s="81" t="s">
        <v>34</v>
      </c>
      <c r="I36" s="82" t="s">
        <v>30</v>
      </c>
      <c r="J36" s="74" t="s">
        <v>53</v>
      </c>
      <c r="K36" s="82" t="s">
        <v>32</v>
      </c>
      <c r="L36" s="83">
        <f>0.85 * F36</f>
        <v/>
      </c>
      <c r="M36" s="66" t="n">
        <v>4.04104365</v>
      </c>
    </row>
    <row customFormat="1" r="37" s="39" spans="1:13">
      <c r="A37" s="77" t="n"/>
      <c r="B37" s="78" t="s">
        <v>27</v>
      </c>
      <c r="C37" s="79" t="n">
        <v>1</v>
      </c>
      <c r="D37" s="80" t="n">
        <v>4.754169</v>
      </c>
      <c r="E37" s="80">
        <f>C37*D37</f>
        <v/>
      </c>
      <c r="F37" s="80" t="n">
        <v>4.754169</v>
      </c>
      <c r="G37" s="79" t="s">
        <v>28</v>
      </c>
      <c r="H37" s="81" t="s">
        <v>29</v>
      </c>
      <c r="I37" s="82" t="s">
        <v>30</v>
      </c>
      <c r="J37" s="74" t="s">
        <v>54</v>
      </c>
      <c r="K37" s="82" t="s">
        <v>32</v>
      </c>
      <c r="L37" s="83">
        <f>0.85 * F37</f>
        <v/>
      </c>
      <c r="M37" s="66" t="n">
        <v>4.04104365</v>
      </c>
    </row>
    <row customFormat="1" r="38" s="39" spans="1:13">
      <c r="A38" s="77" t="n"/>
      <c r="B38" s="78" t="s">
        <v>27</v>
      </c>
      <c r="C38" s="79" t="n">
        <v>9</v>
      </c>
      <c r="D38" s="80" t="n">
        <v>4.754169</v>
      </c>
      <c r="E38" s="80">
        <f>C38*D38</f>
        <v/>
      </c>
      <c r="F38" s="80" t="n">
        <v>42.787521</v>
      </c>
      <c r="G38" s="79" t="s">
        <v>28</v>
      </c>
      <c r="H38" s="81" t="s">
        <v>55</v>
      </c>
      <c r="I38" s="82" t="s">
        <v>30</v>
      </c>
      <c r="J38" s="74" t="s">
        <v>55</v>
      </c>
      <c r="K38" s="82" t="s">
        <v>32</v>
      </c>
      <c r="L38" s="83">
        <f>0.85 * F38</f>
        <v/>
      </c>
      <c r="M38" s="66" t="n">
        <v>36.36939285</v>
      </c>
    </row>
    <row customFormat="1" r="39" s="39" spans="1:13">
      <c r="A39" s="77" t="n"/>
      <c r="B39" s="78" t="s">
        <v>27</v>
      </c>
      <c r="C39" s="79" t="n">
        <v>2</v>
      </c>
      <c r="D39" s="80" t="n">
        <v>4.754169</v>
      </c>
      <c r="E39" s="80">
        <f>C39*D39</f>
        <v/>
      </c>
      <c r="F39" s="80" t="n">
        <v>9.508338</v>
      </c>
      <c r="G39" s="79" t="s">
        <v>28</v>
      </c>
      <c r="H39" s="81" t="s">
        <v>56</v>
      </c>
      <c r="I39" s="82" t="s">
        <v>30</v>
      </c>
      <c r="J39" s="74" t="s">
        <v>56</v>
      </c>
      <c r="K39" s="82" t="s">
        <v>32</v>
      </c>
      <c r="L39" s="83">
        <f>0.85 * F39</f>
        <v/>
      </c>
      <c r="M39" s="66" t="n">
        <v>8.0820873</v>
      </c>
    </row>
    <row customFormat="1" r="40" s="39" spans="1:13">
      <c r="A40" s="77" t="n"/>
      <c r="B40" s="78" t="s">
        <v>27</v>
      </c>
      <c r="C40" s="79" t="n">
        <v>1</v>
      </c>
      <c r="D40" s="80" t="n">
        <v>4.754169</v>
      </c>
      <c r="E40" s="80">
        <f>C40*D40</f>
        <v/>
      </c>
      <c r="F40" s="80" t="n">
        <v>4.754169</v>
      </c>
      <c r="G40" s="79" t="s">
        <v>28</v>
      </c>
      <c r="H40" s="81" t="s">
        <v>36</v>
      </c>
      <c r="I40" s="82" t="s">
        <v>30</v>
      </c>
      <c r="J40" s="74" t="s">
        <v>57</v>
      </c>
      <c r="K40" s="82" t="s">
        <v>32</v>
      </c>
      <c r="L40" s="83">
        <f>0.85 * F40</f>
        <v/>
      </c>
      <c r="M40" s="66" t="n">
        <v>4.04104365</v>
      </c>
    </row>
    <row customFormat="1" r="41" s="39" spans="1:13">
      <c r="A41" s="77" t="n"/>
      <c r="B41" s="78" t="s">
        <v>27</v>
      </c>
      <c r="C41" s="79" t="n">
        <v>2</v>
      </c>
      <c r="D41" s="80" t="n">
        <v>4.754169</v>
      </c>
      <c r="E41" s="80">
        <f>C41*D41</f>
        <v/>
      </c>
      <c r="F41" s="80" t="n">
        <v>9.508338</v>
      </c>
      <c r="G41" s="79" t="s">
        <v>28</v>
      </c>
      <c r="H41" s="81" t="s">
        <v>36</v>
      </c>
      <c r="I41" s="82" t="s">
        <v>30</v>
      </c>
      <c r="J41" s="74" t="s">
        <v>58</v>
      </c>
      <c r="K41" s="82" t="s">
        <v>32</v>
      </c>
      <c r="L41" s="83">
        <f>0.85 * F41</f>
        <v/>
      </c>
      <c r="M41" s="66" t="n">
        <v>8.0820873</v>
      </c>
    </row>
    <row customFormat="1" r="42" s="39" spans="1:13">
      <c r="A42" s="77" t="n"/>
      <c r="B42" s="78" t="s">
        <v>27</v>
      </c>
      <c r="C42" s="79" t="n">
        <v>1</v>
      </c>
      <c r="D42" s="80" t="n">
        <v>4.754169</v>
      </c>
      <c r="E42" s="80">
        <f>C42*D42</f>
        <v/>
      </c>
      <c r="F42" s="80" t="n">
        <v>4.754169</v>
      </c>
      <c r="G42" s="79" t="s">
        <v>28</v>
      </c>
      <c r="H42" s="81" t="s">
        <v>36</v>
      </c>
      <c r="I42" s="82" t="s">
        <v>30</v>
      </c>
      <c r="J42" s="74" t="s">
        <v>30</v>
      </c>
      <c r="K42" s="82" t="s">
        <v>32</v>
      </c>
      <c r="L42" s="83">
        <f>0.85 * F42</f>
        <v/>
      </c>
      <c r="M42" s="66" t="n">
        <v>4.04104365</v>
      </c>
    </row>
    <row customFormat="1" r="43" s="39" spans="1:13">
      <c r="A43" s="77" t="n"/>
      <c r="B43" s="78" t="s">
        <v>27</v>
      </c>
      <c r="C43" s="79" t="n">
        <v>2</v>
      </c>
      <c r="D43" s="80" t="n">
        <v>4.754169</v>
      </c>
      <c r="E43" s="80">
        <f>C43*D43</f>
        <v/>
      </c>
      <c r="F43" s="80" t="n">
        <v>9.508338</v>
      </c>
      <c r="G43" s="79" t="s">
        <v>28</v>
      </c>
      <c r="H43" s="81" t="s">
        <v>29</v>
      </c>
      <c r="I43" s="82" t="s">
        <v>30</v>
      </c>
      <c r="J43" s="74" t="s">
        <v>59</v>
      </c>
      <c r="K43" s="82" t="s">
        <v>32</v>
      </c>
      <c r="L43" s="83">
        <f>0.85 * F43</f>
        <v/>
      </c>
      <c r="M43" s="66" t="n">
        <v>8.0820873</v>
      </c>
    </row>
    <row customFormat="1" r="44" s="39" spans="1:13">
      <c r="A44" s="77" t="n"/>
      <c r="B44" s="78" t="s">
        <v>27</v>
      </c>
      <c r="C44" s="79" t="n">
        <v>9</v>
      </c>
      <c r="D44" s="80" t="n">
        <v>4.754169</v>
      </c>
      <c r="E44" s="80">
        <f>C44*D44</f>
        <v/>
      </c>
      <c r="F44" s="80" t="n">
        <v>42.787521</v>
      </c>
      <c r="G44" s="79" t="s">
        <v>28</v>
      </c>
      <c r="H44" s="81" t="s">
        <v>60</v>
      </c>
      <c r="I44" s="82" t="s">
        <v>30</v>
      </c>
      <c r="J44" s="74" t="s">
        <v>60</v>
      </c>
      <c r="K44" s="82" t="s">
        <v>32</v>
      </c>
      <c r="L44" s="83">
        <f>0.85 * F44</f>
        <v/>
      </c>
      <c r="M44" s="66" t="n">
        <v>36.36939285</v>
      </c>
    </row>
    <row customFormat="1" r="45" s="39" spans="1:13">
      <c r="A45" s="77" t="n"/>
      <c r="B45" s="78" t="s">
        <v>61</v>
      </c>
      <c r="C45" s="79" t="n">
        <v>1</v>
      </c>
      <c r="D45" s="80" t="n">
        <v>0.177777777777778</v>
      </c>
      <c r="E45" s="80">
        <f>C45*D45</f>
        <v/>
      </c>
      <c r="F45" s="80" t="n">
        <v>0.16</v>
      </c>
      <c r="G45" s="79" t="s">
        <v>62</v>
      </c>
      <c r="H45" s="81" t="s">
        <v>29</v>
      </c>
      <c r="I45" s="82" t="s">
        <v>30</v>
      </c>
      <c r="J45" s="74" t="s">
        <v>31</v>
      </c>
      <c r="K45" s="82" t="s">
        <v>32</v>
      </c>
      <c r="L45" s="83">
        <f>0.85 * F45</f>
        <v/>
      </c>
      <c r="M45" s="66" t="n">
        <v>1.2593599915</v>
      </c>
    </row>
    <row customFormat="1" r="46" s="39" spans="1:13">
      <c r="A46" s="77" t="n"/>
      <c r="B46" s="78" t="s">
        <v>61</v>
      </c>
      <c r="C46" s="79" t="n">
        <v>1</v>
      </c>
      <c r="D46" s="80" t="n">
        <v>0.177777777777778</v>
      </c>
      <c r="E46" s="80">
        <f>C46*D46</f>
        <v/>
      </c>
      <c r="F46" s="80" t="n">
        <v>0.16</v>
      </c>
      <c r="G46" s="79" t="s">
        <v>62</v>
      </c>
      <c r="H46" s="81" t="s">
        <v>34</v>
      </c>
      <c r="I46" s="82" t="s">
        <v>30</v>
      </c>
      <c r="J46" s="74" t="s">
        <v>42</v>
      </c>
      <c r="K46" s="82" t="s">
        <v>32</v>
      </c>
      <c r="L46" s="83">
        <f>0.85 * F46</f>
        <v/>
      </c>
      <c r="M46" s="66" t="n">
        <v>1.2593599915</v>
      </c>
    </row>
    <row customFormat="1" r="47" s="39" spans="1:13">
      <c r="A47" s="77" t="n"/>
      <c r="B47" s="78" t="s">
        <v>61</v>
      </c>
      <c r="C47" s="79" t="n">
        <v>1</v>
      </c>
      <c r="D47" s="80" t="n">
        <v>0.000545</v>
      </c>
      <c r="E47" s="80">
        <f>C47*D47</f>
        <v/>
      </c>
      <c r="F47" s="80" t="n">
        <v>0.0004905000000000001</v>
      </c>
      <c r="G47" s="79" t="s">
        <v>43</v>
      </c>
      <c r="H47" s="81" t="s">
        <v>34</v>
      </c>
      <c r="I47" s="82" t="s">
        <v>30</v>
      </c>
      <c r="J47" s="74" t="s">
        <v>46</v>
      </c>
      <c r="K47" s="82" t="s">
        <v>32</v>
      </c>
      <c r="L47" s="83">
        <f>0.85 * F47</f>
        <v/>
      </c>
      <c r="M47" s="66" t="n">
        <v>0.571053834</v>
      </c>
    </row>
    <row customFormat="1" r="48" s="39" spans="1:13">
      <c r="A48" s="77" t="n"/>
      <c r="B48" s="78" t="s">
        <v>61</v>
      </c>
      <c r="C48" s="79" t="n">
        <v>3</v>
      </c>
      <c r="D48" s="80" t="n">
        <v>0.177777777777778</v>
      </c>
      <c r="E48" s="80">
        <f>C48*D48</f>
        <v/>
      </c>
      <c r="F48" s="80" t="n">
        <v>0.48</v>
      </c>
      <c r="G48" s="79" t="s">
        <v>62</v>
      </c>
      <c r="H48" s="81" t="s">
        <v>63</v>
      </c>
      <c r="I48" s="82" t="s">
        <v>30</v>
      </c>
      <c r="J48" s="74" t="s">
        <v>63</v>
      </c>
      <c r="K48" s="82" t="s">
        <v>32</v>
      </c>
      <c r="L48" s="83">
        <f>0.85 * F48</f>
        <v/>
      </c>
      <c r="M48" s="66" t="n">
        <v>3.778079983</v>
      </c>
    </row>
    <row customFormat="1" r="49" s="39" spans="1:13">
      <c r="A49" s="77" t="n"/>
      <c r="B49" s="78" t="s">
        <v>61</v>
      </c>
      <c r="C49" s="79" t="n">
        <v>1</v>
      </c>
      <c r="D49" s="80" t="n">
        <v>0.177777777777778</v>
      </c>
      <c r="E49" s="80">
        <f>C49*D49</f>
        <v/>
      </c>
      <c r="F49" s="80" t="n">
        <v>0.16</v>
      </c>
      <c r="G49" s="79" t="s">
        <v>62</v>
      </c>
      <c r="H49" s="81" t="s">
        <v>49</v>
      </c>
      <c r="I49" s="82" t="s">
        <v>30</v>
      </c>
      <c r="J49" s="74" t="s">
        <v>51</v>
      </c>
      <c r="K49" s="82" t="s">
        <v>32</v>
      </c>
      <c r="L49" s="83">
        <f>0.85 * F49</f>
        <v/>
      </c>
      <c r="M49" s="66" t="n">
        <v>1.2593599915</v>
      </c>
    </row>
    <row customFormat="1" r="50" s="39" spans="1:13">
      <c r="A50" s="77" t="n"/>
      <c r="B50" s="78" t="s">
        <v>61</v>
      </c>
      <c r="C50" s="79" t="n">
        <v>2</v>
      </c>
      <c r="D50" s="80" t="n">
        <v>0.0021</v>
      </c>
      <c r="E50" s="80">
        <f>C50*D50</f>
        <v/>
      </c>
      <c r="F50" s="80" t="n">
        <v>0.00378</v>
      </c>
      <c r="G50" s="79" t="s">
        <v>43</v>
      </c>
      <c r="H50" s="81" t="s">
        <v>64</v>
      </c>
      <c r="I50" s="82" t="s">
        <v>30</v>
      </c>
      <c r="J50" s="74" t="s">
        <v>65</v>
      </c>
      <c r="K50" s="82" t="s">
        <v>32</v>
      </c>
      <c r="L50" s="83">
        <f>0.85 * F50</f>
        <v/>
      </c>
      <c r="M50" s="66" t="n">
        <v>4.40078184</v>
      </c>
    </row>
    <row customFormat="1" r="51" s="39" spans="1:13">
      <c r="A51" s="77" t="n"/>
      <c r="B51" s="78" t="s">
        <v>61</v>
      </c>
      <c r="C51" s="79" t="n">
        <v>2</v>
      </c>
      <c r="D51" s="80" t="n">
        <v>0.0017</v>
      </c>
      <c r="E51" s="80">
        <f>C51*D51</f>
        <v/>
      </c>
      <c r="F51" s="80" t="n">
        <v>0.00306</v>
      </c>
      <c r="G51" s="79" t="s">
        <v>66</v>
      </c>
      <c r="H51" s="81" t="s">
        <v>55</v>
      </c>
      <c r="I51" s="82" t="s">
        <v>30</v>
      </c>
      <c r="J51" s="74" t="s">
        <v>55</v>
      </c>
      <c r="K51" s="82" t="s">
        <v>32</v>
      </c>
      <c r="L51" s="83">
        <f>0.85 * F51</f>
        <v/>
      </c>
      <c r="M51" s="66" t="n">
        <v>4.170625469999999</v>
      </c>
    </row>
    <row customFormat="1" r="52" s="39" spans="1:13">
      <c r="A52" s="77" t="n"/>
      <c r="B52" s="78" t="s">
        <v>61</v>
      </c>
      <c r="C52" s="79" t="n">
        <v>1</v>
      </c>
      <c r="D52" s="80" t="n">
        <v>0.0011</v>
      </c>
      <c r="E52" s="80">
        <f>C52*D52</f>
        <v/>
      </c>
      <c r="F52" s="80" t="n">
        <v>0.00099</v>
      </c>
      <c r="G52" s="79" t="s">
        <v>66</v>
      </c>
      <c r="H52" s="81" t="s">
        <v>56</v>
      </c>
      <c r="I52" s="82" t="s">
        <v>30</v>
      </c>
      <c r="J52" s="74" t="s">
        <v>56</v>
      </c>
      <c r="K52" s="82" t="s">
        <v>32</v>
      </c>
      <c r="L52" s="83">
        <f>0.85 * F52</f>
        <v/>
      </c>
      <c r="M52" s="66" t="n">
        <v>1.3493199965</v>
      </c>
    </row>
    <row customFormat="1" r="53" s="39" spans="1:13">
      <c r="A53" s="77" t="n"/>
      <c r="B53" s="78" t="s">
        <v>61</v>
      </c>
      <c r="C53" s="79" t="n">
        <v>1</v>
      </c>
      <c r="D53" s="80" t="n">
        <v>0.00177267777777778</v>
      </c>
      <c r="E53" s="80">
        <f>C53*D53</f>
        <v/>
      </c>
      <c r="F53" s="80" t="n">
        <v>0.00159541</v>
      </c>
      <c r="G53" s="79" t="s">
        <v>43</v>
      </c>
      <c r="H53" s="81" t="s">
        <v>36</v>
      </c>
      <c r="I53" s="82" t="s">
        <v>30</v>
      </c>
      <c r="J53" s="74" t="s">
        <v>67</v>
      </c>
      <c r="K53" s="82" t="s">
        <v>32</v>
      </c>
      <c r="L53" s="83">
        <f>0.85 * F53</f>
        <v/>
      </c>
      <c r="M53" s="66" t="n">
        <v>1.857421105</v>
      </c>
    </row>
    <row customFormat="1" r="54" s="39" spans="1:13">
      <c r="A54" s="77" t="n"/>
      <c r="B54" s="78" t="s">
        <v>61</v>
      </c>
      <c r="C54" s="79" t="n">
        <v>3</v>
      </c>
      <c r="D54" s="80" t="n">
        <v>0.0009876629629629631</v>
      </c>
      <c r="E54" s="80">
        <f>C54*D54</f>
        <v/>
      </c>
      <c r="F54" s="80" t="n">
        <v>0.00266669</v>
      </c>
      <c r="G54" s="79" t="s">
        <v>66</v>
      </c>
      <c r="H54" s="81" t="s">
        <v>36</v>
      </c>
      <c r="I54" s="82" t="s">
        <v>30</v>
      </c>
      <c r="J54" s="74" t="s">
        <v>67</v>
      </c>
      <c r="K54" s="82" t="s">
        <v>32</v>
      </c>
      <c r="L54" s="83">
        <f>0.85 * F54</f>
        <v/>
      </c>
      <c r="M54" s="66" t="n">
        <v>3.6345646315</v>
      </c>
    </row>
    <row customFormat="1" r="55" s="39" spans="1:13">
      <c r="A55" s="77" t="n"/>
      <c r="B55" s="78" t="s">
        <v>61</v>
      </c>
      <c r="C55" s="79" t="n">
        <v>9</v>
      </c>
      <c r="D55" s="80" t="n">
        <v>0.0021</v>
      </c>
      <c r="E55" s="80">
        <f>C55*D55</f>
        <v/>
      </c>
      <c r="F55" s="80" t="n">
        <v>0.01701</v>
      </c>
      <c r="G55" s="79" t="s">
        <v>43</v>
      </c>
      <c r="H55" s="81" t="s">
        <v>36</v>
      </c>
      <c r="I55" s="82" t="s">
        <v>30</v>
      </c>
      <c r="J55" s="74" t="s">
        <v>67</v>
      </c>
      <c r="K55" s="82" t="s">
        <v>32</v>
      </c>
      <c r="L55" s="83">
        <f>0.85 * F55</f>
        <v/>
      </c>
      <c r="M55" s="66" t="n">
        <v>19.80351828</v>
      </c>
    </row>
    <row customFormat="1" r="56" s="39" spans="1:13">
      <c r="A56" s="77" t="n"/>
      <c r="B56" s="78" t="s">
        <v>61</v>
      </c>
      <c r="C56" s="79" t="n">
        <v>1</v>
      </c>
      <c r="D56" s="80" t="n">
        <v>0.177777777777778</v>
      </c>
      <c r="E56" s="80">
        <f>C56*D56</f>
        <v/>
      </c>
      <c r="F56" s="80" t="n">
        <v>0.16</v>
      </c>
      <c r="G56" s="79" t="s">
        <v>62</v>
      </c>
      <c r="H56" s="81" t="s">
        <v>29</v>
      </c>
      <c r="I56" s="82" t="s">
        <v>30</v>
      </c>
      <c r="J56" s="74" t="s">
        <v>59</v>
      </c>
      <c r="K56" s="82" t="s">
        <v>32</v>
      </c>
      <c r="L56" s="83">
        <f>0.85 * F56</f>
        <v/>
      </c>
      <c r="M56" s="66" t="n">
        <v>1.2593599915</v>
      </c>
    </row>
    <row customFormat="1" r="57" s="39" spans="1:13">
      <c r="A57" s="77" t="n"/>
      <c r="B57" s="78" t="s">
        <v>61</v>
      </c>
      <c r="C57" s="79" t="n">
        <v>1</v>
      </c>
      <c r="D57" s="80" t="n">
        <v>0.177777777777778</v>
      </c>
      <c r="E57" s="80">
        <f>C57*D57</f>
        <v/>
      </c>
      <c r="F57" s="80" t="n">
        <v>0.16</v>
      </c>
      <c r="G57" s="79" t="s">
        <v>62</v>
      </c>
      <c r="H57" s="81" t="s">
        <v>68</v>
      </c>
      <c r="I57" s="82" t="s">
        <v>30</v>
      </c>
      <c r="J57" s="74" t="s">
        <v>69</v>
      </c>
      <c r="K57" s="82" t="s">
        <v>32</v>
      </c>
      <c r="L57" s="83">
        <f>0.85 * F57</f>
        <v/>
      </c>
      <c r="M57" s="66" t="n">
        <v>1.2593599915</v>
      </c>
    </row>
    <row customFormat="1" r="58" s="39" spans="1:13">
      <c r="A58" s="77" t="n"/>
      <c r="B58" s="78" t="s">
        <v>70</v>
      </c>
      <c r="C58" s="79" t="n">
        <v>8</v>
      </c>
      <c r="D58" s="80" t="n">
        <v>0.004324615434</v>
      </c>
      <c r="E58" s="80">
        <f>C58*D58</f>
        <v/>
      </c>
      <c r="F58" s="80" t="n">
        <v>0.0311372311248</v>
      </c>
      <c r="G58" s="79" t="s">
        <v>43</v>
      </c>
      <c r="H58" s="81" t="s">
        <v>71</v>
      </c>
      <c r="I58" s="82" t="s">
        <v>30</v>
      </c>
      <c r="J58" s="74" t="s">
        <v>71</v>
      </c>
      <c r="K58" s="82" t="s">
        <v>32</v>
      </c>
      <c r="L58" s="83">
        <f>0.85 * F58</f>
        <v/>
      </c>
      <c r="M58" s="66" t="n">
        <v>36.25083631796366</v>
      </c>
    </row>
    <row customFormat="1" r="59" s="39" spans="1:13">
      <c r="A59" s="77" t="n"/>
      <c r="B59" s="78" t="s">
        <v>70</v>
      </c>
      <c r="C59" s="79" t="n">
        <v>2</v>
      </c>
      <c r="D59" s="80" t="n">
        <v>0.002278684474</v>
      </c>
      <c r="E59" s="80">
        <f>C59*D59</f>
        <v/>
      </c>
      <c r="F59" s="80" t="n">
        <v>0.0041016320532</v>
      </c>
      <c r="G59" s="79" t="s">
        <v>43</v>
      </c>
      <c r="H59" s="81" t="s">
        <v>72</v>
      </c>
      <c r="I59" s="82" t="s">
        <v>30</v>
      </c>
      <c r="J59" s="74" t="s">
        <v>73</v>
      </c>
      <c r="K59" s="82" t="s">
        <v>32</v>
      </c>
      <c r="L59" s="83">
        <f>0.85 * F59</f>
        <v/>
      </c>
      <c r="M59" s="66" t="n">
        <v>4.77523488203293</v>
      </c>
    </row>
    <row customFormat="1" r="60" s="39" spans="1:13">
      <c r="A60" s="77" t="n"/>
      <c r="B60" s="78" t="s">
        <v>70</v>
      </c>
      <c r="C60" s="79" t="n">
        <v>6</v>
      </c>
      <c r="D60" s="80" t="n">
        <v>0.00263799390866667</v>
      </c>
      <c r="E60" s="80">
        <f>C60*D60</f>
        <v/>
      </c>
      <c r="F60" s="80" t="n">
        <v>0.01424516710680002</v>
      </c>
      <c r="G60" s="79" t="s">
        <v>43</v>
      </c>
      <c r="H60" s="81" t="s">
        <v>40</v>
      </c>
      <c r="I60" s="82" t="s">
        <v>30</v>
      </c>
      <c r="J60" s="74" t="s">
        <v>74</v>
      </c>
      <c r="K60" s="82" t="s">
        <v>32</v>
      </c>
      <c r="L60" s="83">
        <f>0.85 * F60</f>
        <v/>
      </c>
      <c r="M60" s="66" t="n">
        <v>16.58462241041558</v>
      </c>
    </row>
    <row customFormat="1" r="61" s="39" spans="1:13">
      <c r="A61" s="77" t="n"/>
      <c r="B61" s="78" t="s">
        <v>70</v>
      </c>
      <c r="C61" s="79" t="n">
        <v>3</v>
      </c>
      <c r="D61" s="80" t="n">
        <v>0.000211554</v>
      </c>
      <c r="E61" s="80">
        <f>C61*D61</f>
        <v/>
      </c>
      <c r="F61" s="80" t="n">
        <v>0.0005711958000000001</v>
      </c>
      <c r="G61" s="79" t="s">
        <v>43</v>
      </c>
      <c r="H61" s="81" t="s">
        <v>40</v>
      </c>
      <c r="I61" s="82" t="s">
        <v>30</v>
      </c>
      <c r="J61" s="74" t="s">
        <v>75</v>
      </c>
      <c r="K61" s="82" t="s">
        <v>32</v>
      </c>
      <c r="L61" s="83">
        <f>0.85 * F61</f>
        <v/>
      </c>
      <c r="M61" s="66" t="n">
        <v>0.6650021438424002</v>
      </c>
    </row>
    <row customFormat="1" r="62" s="39" spans="1:13">
      <c r="A62" s="77" t="n"/>
      <c r="B62" s="78" t="s">
        <v>70</v>
      </c>
      <c r="C62" s="79" t="n">
        <v>1</v>
      </c>
      <c r="D62" s="80" t="n">
        <v>0.006251186376</v>
      </c>
      <c r="E62" s="80">
        <f>C62*D62</f>
        <v/>
      </c>
      <c r="F62" s="80" t="n">
        <v>0.0056260677384</v>
      </c>
      <c r="G62" s="79" t="s">
        <v>43</v>
      </c>
      <c r="H62" s="81" t="s">
        <v>38</v>
      </c>
      <c r="I62" s="82" t="s">
        <v>30</v>
      </c>
      <c r="J62" s="74" t="s">
        <v>38</v>
      </c>
      <c r="K62" s="82" t="s">
        <v>32</v>
      </c>
      <c r="L62" s="83">
        <f>0.85 * F62</f>
        <v/>
      </c>
      <c r="M62" s="66" t="n">
        <v>6.550025590941956</v>
      </c>
    </row>
    <row customFormat="1" r="63" s="39" spans="1:13">
      <c r="A63" s="77" t="n"/>
      <c r="B63" s="78" t="s">
        <v>70</v>
      </c>
      <c r="C63" s="79" t="n">
        <v>1</v>
      </c>
      <c r="D63" s="80" t="n">
        <v>0.012424016812</v>
      </c>
      <c r="E63" s="80">
        <f>C63*D63</f>
        <v/>
      </c>
      <c r="F63" s="80" t="n">
        <v>0.0111816151308</v>
      </c>
      <c r="G63" s="79" t="s">
        <v>43</v>
      </c>
      <c r="H63" s="81" t="s">
        <v>72</v>
      </c>
      <c r="I63" s="82" t="s">
        <v>30</v>
      </c>
      <c r="J63" s="74" t="s">
        <v>76</v>
      </c>
      <c r="K63" s="82" t="s">
        <v>32</v>
      </c>
      <c r="L63" s="83">
        <f>0.85 * F63</f>
        <v/>
      </c>
      <c r="M63" s="66" t="n">
        <v>13.01794942050102</v>
      </c>
    </row>
    <row customFormat="1" r="64" s="39" spans="1:13">
      <c r="A64" s="77" t="n"/>
      <c r="B64" s="78" t="s">
        <v>70</v>
      </c>
      <c r="C64" s="79" t="n">
        <v>1</v>
      </c>
      <c r="D64" s="80" t="n">
        <v>0.002278684428</v>
      </c>
      <c r="E64" s="80">
        <f>C64*D64</f>
        <v/>
      </c>
      <c r="F64" s="80" t="n">
        <v>0.0020508159852</v>
      </c>
      <c r="G64" s="79" t="s">
        <v>43</v>
      </c>
      <c r="H64" s="81" t="s">
        <v>40</v>
      </c>
      <c r="I64" s="82" t="s">
        <v>30</v>
      </c>
      <c r="J64" s="74" t="s">
        <v>41</v>
      </c>
      <c r="K64" s="82" t="s">
        <v>32</v>
      </c>
      <c r="L64" s="83">
        <f>0.85 * F64</f>
        <v/>
      </c>
      <c r="M64" s="66" t="n">
        <v>2.387617392817426</v>
      </c>
    </row>
    <row customFormat="1" r="65" s="39" spans="1:13">
      <c r="A65" s="77" t="n"/>
      <c r="B65" s="78" t="s">
        <v>70</v>
      </c>
      <c r="C65" s="79" t="n">
        <v>2</v>
      </c>
      <c r="D65" s="80" t="n">
        <v>0.00389076579</v>
      </c>
      <c r="E65" s="80">
        <f>C65*D65</f>
        <v/>
      </c>
      <c r="F65" s="80" t="n">
        <v>0.007003378422</v>
      </c>
      <c r="G65" s="79" t="s">
        <v>43</v>
      </c>
      <c r="H65" s="81" t="s">
        <v>77</v>
      </c>
      <c r="I65" s="82" t="s">
        <v>30</v>
      </c>
      <c r="J65" s="74" t="s">
        <v>77</v>
      </c>
      <c r="K65" s="82" t="s">
        <v>32</v>
      </c>
      <c r="L65" s="83">
        <f>0.85 * F65</f>
        <v/>
      </c>
      <c r="M65" s="66" t="n">
        <v>8.153529253488216</v>
      </c>
    </row>
    <row customFormat="1" r="66" s="39" spans="1:13">
      <c r="A66" s="77" t="n"/>
      <c r="B66" s="78" t="s">
        <v>70</v>
      </c>
      <c r="C66" s="79" t="n">
        <v>2</v>
      </c>
      <c r="D66" s="80" t="n">
        <v>0.0001180935</v>
      </c>
      <c r="E66" s="80">
        <f>C66*D66</f>
        <v/>
      </c>
      <c r="F66" s="80" t="n">
        <v>0.0002125683</v>
      </c>
      <c r="G66" s="79" t="s">
        <v>43</v>
      </c>
      <c r="H66" s="81" t="s">
        <v>40</v>
      </c>
      <c r="I66" s="82" t="s">
        <v>30</v>
      </c>
      <c r="J66" s="74" t="s">
        <v>78</v>
      </c>
      <c r="K66" s="82" t="s">
        <v>32</v>
      </c>
      <c r="L66" s="83">
        <f>0.85 * F66</f>
        <v/>
      </c>
      <c r="M66" s="66" t="n">
        <v>0.2474779667724</v>
      </c>
    </row>
    <row customFormat="1" r="67" s="39" spans="1:13">
      <c r="A67" s="77" t="n"/>
      <c r="B67" s="78" t="s">
        <v>70</v>
      </c>
      <c r="C67" s="79" t="n">
        <v>1</v>
      </c>
      <c r="D67" s="80" t="n">
        <v>0.007551843644</v>
      </c>
      <c r="E67" s="80">
        <f>C67*D67</f>
        <v/>
      </c>
      <c r="F67" s="80" t="n">
        <v>0.0067966592796</v>
      </c>
      <c r="G67" s="79" t="s">
        <v>43</v>
      </c>
      <c r="H67" s="81" t="s">
        <v>40</v>
      </c>
      <c r="I67" s="82" t="s">
        <v>30</v>
      </c>
      <c r="J67" s="74" t="s">
        <v>48</v>
      </c>
      <c r="K67" s="82" t="s">
        <v>32</v>
      </c>
      <c r="L67" s="83">
        <f>0.85 * F67</f>
        <v/>
      </c>
      <c r="M67" s="66" t="n">
        <v>7.912861039770149</v>
      </c>
    </row>
    <row customFormat="1" r="68" s="39" spans="1:13">
      <c r="A68" s="77" t="n"/>
      <c r="B68" s="78" t="s">
        <v>70</v>
      </c>
      <c r="C68" s="79" t="n">
        <v>8</v>
      </c>
      <c r="D68" s="80" t="n">
        <v>0.005800269858</v>
      </c>
      <c r="E68" s="80">
        <f>C68*D68</f>
        <v/>
      </c>
      <c r="F68" s="80" t="n">
        <v>0.0417619429776</v>
      </c>
      <c r="G68" s="79" t="s">
        <v>43</v>
      </c>
      <c r="H68" s="81" t="s">
        <v>40</v>
      </c>
      <c r="I68" s="82" t="s">
        <v>30</v>
      </c>
      <c r="J68" s="74" t="s">
        <v>79</v>
      </c>
      <c r="K68" s="82" t="s">
        <v>32</v>
      </c>
      <c r="L68" s="83">
        <f>0.85 * F68</f>
        <v/>
      </c>
      <c r="M68" s="66" t="n">
        <v>48.6204233489253</v>
      </c>
    </row>
    <row customFormat="1" r="69" s="39" spans="1:13">
      <c r="A69" s="77" t="n"/>
      <c r="B69" s="78" t="s">
        <v>70</v>
      </c>
      <c r="C69" s="79" t="n">
        <v>1</v>
      </c>
      <c r="D69" s="80" t="n">
        <v>0.000498456</v>
      </c>
      <c r="E69" s="80">
        <f>C69*D69</f>
        <v/>
      </c>
      <c r="F69" s="80" t="n">
        <v>0.0004486104</v>
      </c>
      <c r="G69" s="79" t="s">
        <v>43</v>
      </c>
      <c r="H69" s="81" t="s">
        <v>56</v>
      </c>
      <c r="I69" s="82" t="s">
        <v>30</v>
      </c>
      <c r="J69" s="74" t="s">
        <v>56</v>
      </c>
      <c r="K69" s="82" t="s">
        <v>32</v>
      </c>
      <c r="L69" s="83">
        <f>0.85 * F69</f>
        <v/>
      </c>
      <c r="M69" s="66" t="n">
        <v>0.5222847887712</v>
      </c>
    </row>
    <row customFormat="1" r="70" s="39" spans="1:13">
      <c r="A70" s="77" t="n"/>
      <c r="B70" s="78" t="s">
        <v>70</v>
      </c>
      <c r="C70" s="79" t="n">
        <v>1</v>
      </c>
      <c r="D70" s="80" t="n">
        <v>0.000899829</v>
      </c>
      <c r="E70" s="80">
        <f>C70*D70</f>
        <v/>
      </c>
      <c r="F70" s="80" t="n">
        <v>0.0008098461000000001</v>
      </c>
      <c r="G70" s="79" t="s">
        <v>43</v>
      </c>
      <c r="H70" s="81" t="s">
        <v>29</v>
      </c>
      <c r="I70" s="82" t="s">
        <v>30</v>
      </c>
      <c r="J70" s="74" t="s">
        <v>59</v>
      </c>
      <c r="K70" s="82" t="s">
        <v>32</v>
      </c>
      <c r="L70" s="83">
        <f>0.85 * F70</f>
        <v/>
      </c>
      <c r="M70" s="66" t="n">
        <v>0.9428455053108</v>
      </c>
    </row>
    <row customFormat="1" r="71" s="39" spans="1:13">
      <c r="A71" s="77" t="n"/>
      <c r="B71" s="78" t="s">
        <v>70</v>
      </c>
      <c r="C71" s="79" t="n">
        <v>2</v>
      </c>
      <c r="D71" s="80" t="n">
        <v>0.012424016858</v>
      </c>
      <c r="E71" s="80">
        <f>C71*D71</f>
        <v/>
      </c>
      <c r="F71" s="80" t="n">
        <v>0.0223632303444</v>
      </c>
      <c r="G71" s="79" t="s">
        <v>43</v>
      </c>
      <c r="H71" s="81" t="s">
        <v>68</v>
      </c>
      <c r="I71" s="82" t="s">
        <v>30</v>
      </c>
      <c r="J71" s="74" t="s">
        <v>68</v>
      </c>
      <c r="K71" s="82" t="s">
        <v>32</v>
      </c>
      <c r="L71" s="83">
        <f>0.85 * F71</f>
        <v/>
      </c>
      <c r="M71" s="66" t="n">
        <v>26.03589893740013</v>
      </c>
    </row>
    <row customFormat="1" r="72" s="39" spans="1:13">
      <c r="A72" s="77" t="n"/>
      <c r="B72" s="78" t="s">
        <v>70</v>
      </c>
      <c r="C72" s="79" t="n">
        <v>1</v>
      </c>
      <c r="D72" s="80" t="n">
        <v>0.003538457908</v>
      </c>
      <c r="E72" s="80">
        <f>C72*D72</f>
        <v/>
      </c>
      <c r="F72" s="80" t="n">
        <v>0.0031846121172</v>
      </c>
      <c r="G72" s="79" t="s">
        <v>43</v>
      </c>
      <c r="H72" s="81" t="s">
        <v>68</v>
      </c>
      <c r="I72" s="82" t="s">
        <v>30</v>
      </c>
      <c r="J72" s="74" t="s">
        <v>69</v>
      </c>
      <c r="K72" s="82" t="s">
        <v>32</v>
      </c>
      <c r="L72" s="83">
        <f>0.85 * F72</f>
        <v/>
      </c>
      <c r="M72" s="66" t="n">
        <v>3.707614595983522</v>
      </c>
    </row>
    <row customFormat="1" r="73" s="39" spans="1:13">
      <c r="A73" s="77" t="n"/>
      <c r="B73" s="78" t="s">
        <v>80</v>
      </c>
      <c r="C73" s="79" t="n">
        <v>4</v>
      </c>
      <c r="D73" s="80" t="n">
        <v>0.00397618611111111</v>
      </c>
      <c r="E73" s="80">
        <f>C73*D73</f>
        <v/>
      </c>
      <c r="F73" s="80" t="n">
        <v>0.01431427</v>
      </c>
      <c r="G73" s="79" t="s">
        <v>66</v>
      </c>
      <c r="H73" s="81" t="s">
        <v>38</v>
      </c>
      <c r="I73" s="82" t="s">
        <v>30</v>
      </c>
      <c r="J73" s="74" t="s">
        <v>38</v>
      </c>
      <c r="K73" s="82" t="s">
        <v>32</v>
      </c>
      <c r="L73" s="83">
        <f>0.85 * F73</f>
        <v/>
      </c>
      <c r="M73" s="66" t="n">
        <v>19.3097388555</v>
      </c>
    </row>
    <row customFormat="1" r="74" s="39" spans="1:13">
      <c r="A74" s="77" t="n"/>
      <c r="B74" s="78" t="s">
        <v>81</v>
      </c>
      <c r="C74" s="79" t="n">
        <v>1</v>
      </c>
      <c r="D74" s="80" t="n">
        <v>0.00512395555555556</v>
      </c>
      <c r="E74" s="80">
        <f>C74*D74</f>
        <v/>
      </c>
      <c r="F74" s="80" t="n">
        <v>0.00461156</v>
      </c>
      <c r="G74" s="79" t="s">
        <v>43</v>
      </c>
      <c r="H74" s="81" t="s">
        <v>29</v>
      </c>
      <c r="I74" s="82" t="s">
        <v>30</v>
      </c>
      <c r="J74" s="74" t="s">
        <v>31</v>
      </c>
      <c r="K74" s="82" t="s">
        <v>32</v>
      </c>
      <c r="L74" s="83">
        <f>0.85 * F74</f>
        <v/>
      </c>
      <c r="M74" s="66" t="n">
        <v>5.3123441865</v>
      </c>
    </row>
    <row customFormat="1" r="75" s="39" spans="1:13">
      <c r="A75" s="77" t="n"/>
      <c r="B75" s="78" t="s">
        <v>81</v>
      </c>
      <c r="C75" s="79" t="n">
        <v>2</v>
      </c>
      <c r="D75" s="80" t="n">
        <v>0.0160489277777778</v>
      </c>
      <c r="E75" s="80">
        <f>C75*D75</f>
        <v/>
      </c>
      <c r="F75" s="80" t="n">
        <v>0.02888807</v>
      </c>
      <c r="G75" s="79" t="s">
        <v>43</v>
      </c>
      <c r="H75" s="81" t="s">
        <v>63</v>
      </c>
      <c r="I75" s="82" t="s">
        <v>30</v>
      </c>
      <c r="J75" s="74" t="s">
        <v>63</v>
      </c>
      <c r="K75" s="82" t="s">
        <v>32</v>
      </c>
      <c r="L75" s="83">
        <f>0.85 * F75</f>
        <v/>
      </c>
      <c r="M75" s="66" t="n">
        <v>33.277973331</v>
      </c>
    </row>
    <row customFormat="1" r="76" s="39" spans="1:13">
      <c r="A76" s="77" t="n"/>
      <c r="B76" s="78" t="s">
        <v>81</v>
      </c>
      <c r="C76" s="79" t="n">
        <v>1</v>
      </c>
      <c r="D76" s="80" t="n">
        <v>0.0170977</v>
      </c>
      <c r="E76" s="80">
        <f>C76*D76</f>
        <v/>
      </c>
      <c r="F76" s="80" t="n">
        <v>0.01538793</v>
      </c>
      <c r="G76" s="79" t="s">
        <v>43</v>
      </c>
      <c r="H76" s="81" t="s">
        <v>29</v>
      </c>
      <c r="I76" s="82" t="s">
        <v>30</v>
      </c>
      <c r="J76" s="74" t="s">
        <v>54</v>
      </c>
      <c r="K76" s="82" t="s">
        <v>32</v>
      </c>
      <c r="L76" s="83">
        <f>0.85 * F76</f>
        <v/>
      </c>
      <c r="M76" s="66" t="n">
        <v>17.7263183105</v>
      </c>
    </row>
    <row customFormat="1" r="77" s="39" spans="1:13">
      <c r="A77" s="77" t="n"/>
      <c r="B77" s="78" t="s">
        <v>81</v>
      </c>
      <c r="C77" s="79" t="n">
        <v>2</v>
      </c>
      <c r="D77" s="80" t="n">
        <v>0.0160489277777778</v>
      </c>
      <c r="E77" s="80">
        <f>C77*D77</f>
        <v/>
      </c>
      <c r="F77" s="80" t="n">
        <v>0.02888807</v>
      </c>
      <c r="G77" s="79" t="s">
        <v>43</v>
      </c>
      <c r="H77" s="81" t="s">
        <v>29</v>
      </c>
      <c r="I77" s="82" t="s">
        <v>30</v>
      </c>
      <c r="J77" s="74" t="s">
        <v>59</v>
      </c>
      <c r="K77" s="82" t="s">
        <v>32</v>
      </c>
      <c r="L77" s="83">
        <f>0.85 * F77</f>
        <v/>
      </c>
      <c r="M77" s="66" t="n">
        <v>33.277973331</v>
      </c>
    </row>
    <row customFormat="1" r="78" s="39" spans="1:13">
      <c r="A78" s="77" t="n"/>
      <c r="B78" s="78" t="s">
        <v>82</v>
      </c>
      <c r="C78" s="79" t="n">
        <v>2</v>
      </c>
      <c r="D78" s="80" t="n">
        <v>0.531758594444444</v>
      </c>
      <c r="E78" s="80">
        <f>C78*D78</f>
        <v/>
      </c>
      <c r="F78" s="80" t="n">
        <v>0.95716547</v>
      </c>
      <c r="G78" s="79" t="s">
        <v>62</v>
      </c>
      <c r="H78" s="81" t="s">
        <v>64</v>
      </c>
      <c r="I78" s="82" t="s">
        <v>30</v>
      </c>
      <c r="J78" s="74" t="s">
        <v>83</v>
      </c>
      <c r="K78" s="82" t="s">
        <v>32</v>
      </c>
      <c r="L78" s="83">
        <f>0.85 * F78</f>
        <v/>
      </c>
      <c r="M78" s="66" t="n">
        <v>7.5338494125</v>
      </c>
    </row>
    <row customFormat="1" r="79" s="39" spans="1:13">
      <c r="A79" s="77" t="n"/>
      <c r="B79" s="78" t="s">
        <v>82</v>
      </c>
      <c r="C79" s="79" t="n">
        <v>40</v>
      </c>
      <c r="D79" s="80" t="n">
        <v>0.531758592777778</v>
      </c>
      <c r="E79" s="80">
        <f>C79*D79</f>
        <v/>
      </c>
      <c r="F79" s="80" t="n">
        <v>19.14330934</v>
      </c>
      <c r="G79" s="79" t="s">
        <v>62</v>
      </c>
      <c r="H79" s="81" t="s">
        <v>64</v>
      </c>
      <c r="I79" s="82" t="s">
        <v>30</v>
      </c>
      <c r="J79" s="74" t="s">
        <v>84</v>
      </c>
      <c r="K79" s="82" t="s">
        <v>32</v>
      </c>
      <c r="L79" s="83">
        <f>0.85 * F79</f>
        <v/>
      </c>
      <c r="M79" s="66" t="n">
        <v>150.676987808</v>
      </c>
    </row>
    <row customFormat="1" r="80" s="39" spans="1:13">
      <c r="A80" s="77" t="n"/>
      <c r="B80" s="78" t="s">
        <v>82</v>
      </c>
      <c r="C80" s="79" t="n">
        <v>27</v>
      </c>
      <c r="D80" s="80" t="n">
        <v>0.5317585925925929</v>
      </c>
      <c r="E80" s="80">
        <f>C80*D80</f>
        <v/>
      </c>
      <c r="F80" s="80" t="n">
        <v>12.9217338</v>
      </c>
      <c r="G80" s="79" t="s">
        <v>62</v>
      </c>
      <c r="H80" s="81" t="s">
        <v>64</v>
      </c>
      <c r="I80" s="82" t="s">
        <v>30</v>
      </c>
      <c r="J80" s="74" t="s">
        <v>85</v>
      </c>
      <c r="K80" s="82" t="s">
        <v>32</v>
      </c>
      <c r="L80" s="83">
        <f>0.85 * F80</f>
        <v/>
      </c>
      <c r="M80" s="66" t="n">
        <v>101.706966733</v>
      </c>
    </row>
    <row customFormat="1" r="81" s="39" spans="1:13">
      <c r="A81" s="77" t="n"/>
      <c r="B81" s="78" t="s">
        <v>86</v>
      </c>
      <c r="C81" s="79" t="n">
        <v>9</v>
      </c>
      <c r="D81" s="80" t="n">
        <v>4.40333333333333</v>
      </c>
      <c r="E81" s="80">
        <f>C81*D81</f>
        <v/>
      </c>
      <c r="F81" s="80" t="n">
        <v>39.62999999999997</v>
      </c>
      <c r="G81" s="79" t="s">
        <v>28</v>
      </c>
      <c r="H81" s="81" t="s">
        <v>33</v>
      </c>
      <c r="I81" s="82" t="s">
        <v>30</v>
      </c>
      <c r="J81" s="74" t="s">
        <v>33</v>
      </c>
      <c r="K81" s="82" t="s">
        <v>32</v>
      </c>
      <c r="L81" s="83">
        <f>0.85 * F81</f>
        <v/>
      </c>
      <c r="M81" s="66" t="n">
        <v>33.68549999999997</v>
      </c>
    </row>
    <row customFormat="1" r="82" s="39" spans="1:13">
      <c r="A82" s="77" t="n"/>
      <c r="B82" s="78" t="s">
        <v>86</v>
      </c>
      <c r="C82" s="79" t="n">
        <v>2</v>
      </c>
      <c r="D82" s="80" t="n">
        <v>6.16</v>
      </c>
      <c r="E82" s="80">
        <f>C82*D82</f>
        <v/>
      </c>
      <c r="F82" s="80" t="n">
        <v>12.32</v>
      </c>
      <c r="G82" s="79" t="s">
        <v>28</v>
      </c>
      <c r="H82" s="81" t="s">
        <v>71</v>
      </c>
      <c r="I82" s="82" t="s">
        <v>30</v>
      </c>
      <c r="J82" s="74" t="s">
        <v>71</v>
      </c>
      <c r="K82" s="82" t="s">
        <v>32</v>
      </c>
      <c r="L82" s="83">
        <f>0.85 * F82</f>
        <v/>
      </c>
      <c r="M82" s="66" t="n">
        <v>10.472</v>
      </c>
    </row>
    <row customFormat="1" r="83" s="39" spans="1:13">
      <c r="A83" s="77" t="n"/>
      <c r="B83" s="78" t="s">
        <v>86</v>
      </c>
      <c r="C83" s="79" t="n">
        <v>8</v>
      </c>
      <c r="D83" s="80" t="n">
        <v>7.05</v>
      </c>
      <c r="E83" s="80">
        <f>C83*D83</f>
        <v/>
      </c>
      <c r="F83" s="80" t="n">
        <v>56.4</v>
      </c>
      <c r="G83" s="79" t="s">
        <v>28</v>
      </c>
      <c r="H83" s="81" t="s">
        <v>36</v>
      </c>
      <c r="I83" s="82" t="s">
        <v>30</v>
      </c>
      <c r="J83" s="74" t="s">
        <v>37</v>
      </c>
      <c r="K83" s="82" t="s">
        <v>32</v>
      </c>
      <c r="L83" s="83">
        <f>0.85 * F83</f>
        <v/>
      </c>
      <c r="M83" s="66" t="n">
        <v>47.94</v>
      </c>
    </row>
    <row customFormat="1" r="84" s="39" spans="1:13">
      <c r="A84" s="77" t="n"/>
      <c r="B84" s="78" t="s">
        <v>86</v>
      </c>
      <c r="C84" s="79" t="n">
        <v>2</v>
      </c>
      <c r="D84" s="80" t="n">
        <v>7.05</v>
      </c>
      <c r="E84" s="80">
        <f>C84*D84</f>
        <v/>
      </c>
      <c r="F84" s="80" t="n">
        <v>14.1</v>
      </c>
      <c r="G84" s="79" t="s">
        <v>28</v>
      </c>
      <c r="H84" s="81" t="s">
        <v>40</v>
      </c>
      <c r="I84" s="82" t="s">
        <v>30</v>
      </c>
      <c r="J84" s="74" t="s">
        <v>74</v>
      </c>
      <c r="K84" s="82" t="s">
        <v>32</v>
      </c>
      <c r="L84" s="83">
        <f>0.85 * F84</f>
        <v/>
      </c>
      <c r="M84" s="66" t="n">
        <v>11.985</v>
      </c>
    </row>
    <row customFormat="1" r="85" s="39" spans="1:13">
      <c r="A85" s="77" t="n"/>
      <c r="B85" s="78" t="s">
        <v>86</v>
      </c>
      <c r="C85" s="79" t="n">
        <v>18</v>
      </c>
      <c r="D85" s="80" t="n">
        <v>6.63888888888889</v>
      </c>
      <c r="E85" s="80">
        <f>C85*D85</f>
        <v/>
      </c>
      <c r="F85" s="80" t="n">
        <v>119.5</v>
      </c>
      <c r="G85" s="79" t="s">
        <v>28</v>
      </c>
      <c r="H85" s="81" t="s">
        <v>38</v>
      </c>
      <c r="I85" s="82" t="s">
        <v>30</v>
      </c>
      <c r="J85" s="74" t="s">
        <v>38</v>
      </c>
      <c r="K85" s="82" t="s">
        <v>32</v>
      </c>
      <c r="L85" s="83">
        <f>0.85 * F85</f>
        <v/>
      </c>
      <c r="M85" s="66" t="n">
        <v>101.575</v>
      </c>
    </row>
    <row customFormat="1" r="86" s="39" spans="1:13">
      <c r="A86" s="77" t="n"/>
      <c r="B86" s="78" t="s">
        <v>86</v>
      </c>
      <c r="C86" s="79" t="n">
        <v>1</v>
      </c>
      <c r="D86" s="80" t="n">
        <v>7.05</v>
      </c>
      <c r="E86" s="80">
        <f>C86*D86</f>
        <v/>
      </c>
      <c r="F86" s="80" t="n">
        <v>7.05</v>
      </c>
      <c r="G86" s="79" t="s">
        <v>28</v>
      </c>
      <c r="H86" s="81" t="s">
        <v>77</v>
      </c>
      <c r="I86" s="82" t="s">
        <v>30</v>
      </c>
      <c r="J86" s="74" t="s">
        <v>77</v>
      </c>
      <c r="K86" s="82" t="s">
        <v>32</v>
      </c>
      <c r="L86" s="83">
        <f>0.85 * F86</f>
        <v/>
      </c>
      <c r="M86" s="66" t="n">
        <v>5.9925</v>
      </c>
    </row>
    <row customFormat="1" r="87" s="39" spans="1:13">
      <c r="A87" s="77" t="n"/>
      <c r="B87" s="78" t="s">
        <v>86</v>
      </c>
      <c r="C87" s="79" t="n">
        <v>14</v>
      </c>
      <c r="D87" s="80" t="n">
        <v>4.78142857142857</v>
      </c>
      <c r="E87" s="80">
        <f>C87*D87</f>
        <v/>
      </c>
      <c r="F87" s="80" t="n">
        <v>66.93999999999998</v>
      </c>
      <c r="G87" s="79" t="s">
        <v>28</v>
      </c>
      <c r="H87" s="81" t="s">
        <v>87</v>
      </c>
      <c r="I87" s="82" t="s">
        <v>30</v>
      </c>
      <c r="J87" s="74" t="s">
        <v>87</v>
      </c>
      <c r="K87" s="82" t="s">
        <v>32</v>
      </c>
      <c r="L87" s="83">
        <f>0.85 * F87</f>
        <v/>
      </c>
      <c r="M87" s="66" t="n">
        <v>56.89899999999999</v>
      </c>
    </row>
    <row customFormat="1" r="88" s="39" spans="1:13">
      <c r="A88" s="77" t="n"/>
      <c r="B88" s="78" t="s">
        <v>86</v>
      </c>
      <c r="C88" s="79" t="n">
        <v>2</v>
      </c>
      <c r="D88" s="80" t="n">
        <v>4.34</v>
      </c>
      <c r="E88" s="80">
        <f>C88*D88</f>
        <v/>
      </c>
      <c r="F88" s="80" t="n">
        <v>8.68</v>
      </c>
      <c r="G88" s="79" t="s">
        <v>28</v>
      </c>
      <c r="H88" s="81" t="s">
        <v>88</v>
      </c>
      <c r="I88" s="82" t="s">
        <v>30</v>
      </c>
      <c r="J88" s="74" t="s">
        <v>89</v>
      </c>
      <c r="K88" s="82" t="s">
        <v>32</v>
      </c>
      <c r="L88" s="83">
        <f>0.85 * F88</f>
        <v/>
      </c>
      <c r="M88" s="66" t="n">
        <v>7.377999999999999</v>
      </c>
    </row>
    <row customFormat="1" r="89" s="39" spans="1:13">
      <c r="A89" s="77" t="n"/>
      <c r="B89" s="78" t="s">
        <v>86</v>
      </c>
      <c r="C89" s="79" t="n">
        <v>5</v>
      </c>
      <c r="D89" s="80" t="n">
        <v>4.388</v>
      </c>
      <c r="E89" s="80">
        <f>C89*D89</f>
        <v/>
      </c>
      <c r="F89" s="80" t="n">
        <v>21.94</v>
      </c>
      <c r="G89" s="79" t="s">
        <v>28</v>
      </c>
      <c r="H89" s="81" t="s">
        <v>90</v>
      </c>
      <c r="I89" s="82" t="s">
        <v>30</v>
      </c>
      <c r="J89" s="74" t="s">
        <v>90</v>
      </c>
      <c r="K89" s="82" t="s">
        <v>32</v>
      </c>
      <c r="L89" s="83">
        <f>0.85 * F89</f>
        <v/>
      </c>
      <c r="M89" s="66" t="n">
        <v>18.649</v>
      </c>
    </row>
    <row customFormat="1" r="90" s="39" spans="1:13">
      <c r="A90" s="77" t="n"/>
      <c r="B90" s="78" t="s">
        <v>86</v>
      </c>
      <c r="C90" s="79" t="n">
        <v>6</v>
      </c>
      <c r="D90" s="80" t="n">
        <v>5.66833333333333</v>
      </c>
      <c r="E90" s="80">
        <f>C90*D90</f>
        <v/>
      </c>
      <c r="F90" s="80" t="n">
        <v>34.00999999999998</v>
      </c>
      <c r="G90" s="79" t="s">
        <v>28</v>
      </c>
      <c r="H90" s="81" t="s">
        <v>45</v>
      </c>
      <c r="I90" s="82" t="s">
        <v>30</v>
      </c>
      <c r="J90" s="74" t="s">
        <v>45</v>
      </c>
      <c r="K90" s="82" t="s">
        <v>32</v>
      </c>
      <c r="L90" s="83">
        <f>0.85 * F90</f>
        <v/>
      </c>
      <c r="M90" s="66" t="n">
        <v>28.90849999999999</v>
      </c>
    </row>
    <row customFormat="1" r="91" s="39" spans="1:13">
      <c r="A91" s="77" t="n"/>
      <c r="B91" s="78" t="s">
        <v>86</v>
      </c>
      <c r="C91" s="79" t="n">
        <v>257</v>
      </c>
      <c r="D91" s="80" t="n">
        <v>5.15428015564202</v>
      </c>
      <c r="E91" s="80">
        <f>C91*D91</f>
        <v/>
      </c>
      <c r="F91" s="80" t="n">
        <v>1324.649999999999</v>
      </c>
      <c r="G91" s="79" t="s">
        <v>28</v>
      </c>
      <c r="H91" s="81" t="s">
        <v>34</v>
      </c>
      <c r="I91" s="82" t="s">
        <v>30</v>
      </c>
      <c r="J91" s="74" t="s">
        <v>46</v>
      </c>
      <c r="K91" s="82" t="s">
        <v>32</v>
      </c>
      <c r="L91" s="83">
        <f>0.85 * F91</f>
        <v/>
      </c>
      <c r="M91" s="66" t="n">
        <v>1125.952499999999</v>
      </c>
    </row>
    <row customFormat="1" r="92" s="39" spans="1:13">
      <c r="A92" s="77" t="n"/>
      <c r="B92" s="78" t="s">
        <v>86</v>
      </c>
      <c r="C92" s="79" t="n">
        <v>6</v>
      </c>
      <c r="D92" s="80" t="n">
        <v>4.725</v>
      </c>
      <c r="E92" s="80">
        <f>C92*D92</f>
        <v/>
      </c>
      <c r="F92" s="80" t="n">
        <v>28.35</v>
      </c>
      <c r="G92" s="79" t="s">
        <v>28</v>
      </c>
      <c r="H92" s="81" t="s">
        <v>47</v>
      </c>
      <c r="I92" s="82" t="s">
        <v>30</v>
      </c>
      <c r="J92" s="74" t="s">
        <v>47</v>
      </c>
      <c r="K92" s="82" t="s">
        <v>32</v>
      </c>
      <c r="L92" s="83">
        <f>0.85 * F92</f>
        <v/>
      </c>
      <c r="M92" s="66" t="n">
        <v>24.0975</v>
      </c>
    </row>
    <row customFormat="1" r="93" s="39" spans="1:13">
      <c r="A93" s="77" t="n"/>
      <c r="B93" s="78" t="s">
        <v>86</v>
      </c>
      <c r="C93" s="79" t="n">
        <v>11</v>
      </c>
      <c r="D93" s="80" t="n">
        <v>6.29181818181818</v>
      </c>
      <c r="E93" s="80">
        <f>C93*D93</f>
        <v/>
      </c>
      <c r="F93" s="80" t="n">
        <v>69.20999999999998</v>
      </c>
      <c r="G93" s="79" t="s">
        <v>28</v>
      </c>
      <c r="H93" s="81" t="s">
        <v>63</v>
      </c>
      <c r="I93" s="82" t="s">
        <v>30</v>
      </c>
      <c r="J93" s="74" t="s">
        <v>63</v>
      </c>
      <c r="K93" s="82" t="s">
        <v>32</v>
      </c>
      <c r="L93" s="83">
        <f>0.85 * F93</f>
        <v/>
      </c>
      <c r="M93" s="66" t="n">
        <v>58.82849999999998</v>
      </c>
    </row>
    <row customFormat="1" r="94" s="39" spans="1:13">
      <c r="A94" s="77" t="n"/>
      <c r="B94" s="78" t="s">
        <v>86</v>
      </c>
      <c r="C94" s="79" t="n">
        <v>1</v>
      </c>
      <c r="D94" s="80" t="n">
        <v>5.52</v>
      </c>
      <c r="E94" s="80">
        <f>C94*D94</f>
        <v/>
      </c>
      <c r="F94" s="80" t="n">
        <v>5.52</v>
      </c>
      <c r="G94" s="79" t="s">
        <v>28</v>
      </c>
      <c r="H94" s="81" t="s">
        <v>34</v>
      </c>
      <c r="I94" s="82" t="s">
        <v>30</v>
      </c>
      <c r="J94" s="74" t="s">
        <v>91</v>
      </c>
      <c r="K94" s="82" t="s">
        <v>32</v>
      </c>
      <c r="L94" s="83">
        <f>0.85 * F94</f>
        <v/>
      </c>
      <c r="M94" s="66" t="n">
        <v>4.691999999999999</v>
      </c>
    </row>
    <row customFormat="1" r="95" s="39" spans="1:13">
      <c r="A95" s="77" t="n"/>
      <c r="B95" s="78" t="s">
        <v>86</v>
      </c>
      <c r="C95" s="79" t="n">
        <v>7</v>
      </c>
      <c r="D95" s="80" t="n">
        <v>6.29142857142857</v>
      </c>
      <c r="E95" s="80">
        <f>C95*D95</f>
        <v/>
      </c>
      <c r="F95" s="80" t="n">
        <v>44.03999999999999</v>
      </c>
      <c r="G95" s="79" t="s">
        <v>28</v>
      </c>
      <c r="H95" s="81" t="s">
        <v>49</v>
      </c>
      <c r="I95" s="82" t="s">
        <v>30</v>
      </c>
      <c r="J95" s="74" t="s">
        <v>50</v>
      </c>
      <c r="K95" s="82" t="s">
        <v>32</v>
      </c>
      <c r="L95" s="83">
        <f>0.85 * F95</f>
        <v/>
      </c>
      <c r="M95" s="66" t="n">
        <v>37.43399999999999</v>
      </c>
    </row>
    <row customFormat="1" r="96" s="39" spans="1:13">
      <c r="A96" s="77" t="n"/>
      <c r="B96" s="78" t="s">
        <v>86</v>
      </c>
      <c r="C96" s="79" t="n">
        <v>9</v>
      </c>
      <c r="D96" s="80" t="n">
        <v>7.05</v>
      </c>
      <c r="E96" s="80">
        <f>C96*D96</f>
        <v/>
      </c>
      <c r="F96" s="80" t="n">
        <v>63.45</v>
      </c>
      <c r="G96" s="79" t="s">
        <v>28</v>
      </c>
      <c r="H96" s="81" t="s">
        <v>49</v>
      </c>
      <c r="I96" s="82" t="s">
        <v>30</v>
      </c>
      <c r="J96" s="74" t="s">
        <v>51</v>
      </c>
      <c r="K96" s="82" t="s">
        <v>32</v>
      </c>
      <c r="L96" s="83">
        <f>0.85 * F96</f>
        <v/>
      </c>
      <c r="M96" s="66" t="n">
        <v>53.9325</v>
      </c>
    </row>
    <row customFormat="1" r="97" s="39" spans="1:13">
      <c r="A97" s="77" t="n"/>
      <c r="B97" s="78" t="s">
        <v>86</v>
      </c>
      <c r="C97" s="79" t="n">
        <v>1</v>
      </c>
      <c r="D97" s="80" t="n">
        <v>5.52</v>
      </c>
      <c r="E97" s="80">
        <f>C97*D97</f>
        <v/>
      </c>
      <c r="F97" s="80" t="n">
        <v>5.52</v>
      </c>
      <c r="G97" s="79" t="s">
        <v>28</v>
      </c>
      <c r="H97" s="81" t="s">
        <v>34</v>
      </c>
      <c r="I97" s="82" t="s">
        <v>30</v>
      </c>
      <c r="J97" s="74" t="s">
        <v>53</v>
      </c>
      <c r="K97" s="82" t="s">
        <v>32</v>
      </c>
      <c r="L97" s="83">
        <f>0.85 * F97</f>
        <v/>
      </c>
      <c r="M97" s="66" t="n">
        <v>4.691999999999999</v>
      </c>
    </row>
    <row customFormat="1" r="98" s="39" spans="1:13">
      <c r="A98" s="77" t="n"/>
      <c r="B98" s="78" t="s">
        <v>86</v>
      </c>
      <c r="C98" s="79" t="n">
        <v>97</v>
      </c>
      <c r="D98" s="80" t="n">
        <v>6.07422680412371</v>
      </c>
      <c r="E98" s="80">
        <f>C98*D98</f>
        <v/>
      </c>
      <c r="F98" s="80" t="n">
        <v>589.1999999999999</v>
      </c>
      <c r="G98" s="79" t="s">
        <v>28</v>
      </c>
      <c r="H98" s="81" t="s">
        <v>64</v>
      </c>
      <c r="I98" s="82" t="s">
        <v>30</v>
      </c>
      <c r="J98" s="74" t="s">
        <v>83</v>
      </c>
      <c r="K98" s="82" t="s">
        <v>32</v>
      </c>
      <c r="L98" s="83">
        <f>0.85 * F98</f>
        <v/>
      </c>
      <c r="M98" s="66" t="n">
        <v>500.8199999999999</v>
      </c>
    </row>
    <row customFormat="1" r="99" s="39" spans="1:13">
      <c r="A99" s="77" t="n"/>
      <c r="B99" s="78" t="s">
        <v>86</v>
      </c>
      <c r="C99" s="79" t="n">
        <v>1</v>
      </c>
      <c r="D99" s="80" t="n">
        <v>7.05</v>
      </c>
      <c r="E99" s="80">
        <f>C99*D99</f>
        <v/>
      </c>
      <c r="F99" s="80" t="n">
        <v>7.05</v>
      </c>
      <c r="G99" s="79" t="s">
        <v>28</v>
      </c>
      <c r="H99" s="81" t="s">
        <v>72</v>
      </c>
      <c r="I99" s="82" t="s">
        <v>30</v>
      </c>
      <c r="J99" s="74" t="s">
        <v>92</v>
      </c>
      <c r="K99" s="82" t="s">
        <v>32</v>
      </c>
      <c r="L99" s="83">
        <f>0.85 * F99</f>
        <v/>
      </c>
      <c r="M99" s="66" t="n">
        <v>5.9925</v>
      </c>
    </row>
    <row customFormat="1" r="100" s="39" spans="1:13">
      <c r="A100" s="77" t="n"/>
      <c r="B100" s="78" t="s">
        <v>86</v>
      </c>
      <c r="C100" s="79" t="n">
        <v>16</v>
      </c>
      <c r="D100" s="80" t="n">
        <v>5.3125</v>
      </c>
      <c r="E100" s="80">
        <f>C100*D100</f>
        <v/>
      </c>
      <c r="F100" s="80" t="n">
        <v>85</v>
      </c>
      <c r="G100" s="79" t="s">
        <v>28</v>
      </c>
      <c r="H100" s="81" t="s">
        <v>55</v>
      </c>
      <c r="I100" s="82" t="s">
        <v>30</v>
      </c>
      <c r="J100" s="74" t="s">
        <v>55</v>
      </c>
      <c r="K100" s="82" t="s">
        <v>32</v>
      </c>
      <c r="L100" s="83">
        <f>0.85 * F100</f>
        <v/>
      </c>
      <c r="M100" s="66" t="n">
        <v>72.25</v>
      </c>
    </row>
    <row customFormat="1" r="101" s="39" spans="1:13">
      <c r="A101" s="77" t="n"/>
      <c r="B101" s="78" t="s">
        <v>86</v>
      </c>
      <c r="C101" s="79" t="n">
        <v>70</v>
      </c>
      <c r="D101" s="80" t="n">
        <v>4.54</v>
      </c>
      <c r="E101" s="80">
        <f>C101*D101</f>
        <v/>
      </c>
      <c r="F101" s="80" t="n">
        <v>317.8</v>
      </c>
      <c r="G101" s="79" t="s">
        <v>28</v>
      </c>
      <c r="H101" s="81" t="s">
        <v>56</v>
      </c>
      <c r="I101" s="82" t="s">
        <v>30</v>
      </c>
      <c r="J101" s="74" t="s">
        <v>56</v>
      </c>
      <c r="K101" s="82" t="s">
        <v>32</v>
      </c>
      <c r="L101" s="83">
        <f>0.85 * F101</f>
        <v/>
      </c>
      <c r="M101" s="66" t="n">
        <v>270.13</v>
      </c>
    </row>
    <row customFormat="1" r="102" s="39" spans="1:13">
      <c r="A102" s="77" t="n"/>
      <c r="B102" s="78" t="s">
        <v>86</v>
      </c>
      <c r="C102" s="79" t="n">
        <v>29</v>
      </c>
      <c r="D102" s="80" t="n">
        <v>5.02344827586207</v>
      </c>
      <c r="E102" s="80">
        <f>C102*D102</f>
        <v/>
      </c>
      <c r="F102" s="80" t="n">
        <v>145.68</v>
      </c>
      <c r="G102" s="79" t="s">
        <v>28</v>
      </c>
      <c r="H102" s="81" t="s">
        <v>40</v>
      </c>
      <c r="I102" s="82" t="s">
        <v>30</v>
      </c>
      <c r="J102" s="74" t="s">
        <v>93</v>
      </c>
      <c r="K102" s="82" t="s">
        <v>32</v>
      </c>
      <c r="L102" s="83">
        <f>0.85 * F102</f>
        <v/>
      </c>
      <c r="M102" s="66" t="n">
        <v>123.828</v>
      </c>
    </row>
    <row customFormat="1" r="103" s="39" spans="1:13">
      <c r="A103" s="77" t="n"/>
      <c r="B103" s="78" t="s">
        <v>86</v>
      </c>
      <c r="C103" s="79" t="n">
        <v>18</v>
      </c>
      <c r="D103" s="80" t="n">
        <v>7.40388888888889</v>
      </c>
      <c r="E103" s="80">
        <f>C103*D103</f>
        <v/>
      </c>
      <c r="F103" s="80" t="n">
        <v>133.27</v>
      </c>
      <c r="G103" s="79" t="s">
        <v>28</v>
      </c>
      <c r="H103" s="81" t="s">
        <v>36</v>
      </c>
      <c r="I103" s="82" t="s">
        <v>30</v>
      </c>
      <c r="J103" s="74" t="s">
        <v>30</v>
      </c>
      <c r="K103" s="82" t="s">
        <v>32</v>
      </c>
      <c r="L103" s="83">
        <f>0.85 * F103</f>
        <v/>
      </c>
      <c r="M103" s="66" t="n">
        <v>113.2795</v>
      </c>
    </row>
    <row customFormat="1" r="104" s="39" spans="1:13">
      <c r="A104" s="77" t="n"/>
      <c r="B104" s="78" t="s">
        <v>86</v>
      </c>
      <c r="C104" s="79" t="n">
        <v>1</v>
      </c>
      <c r="D104" s="80" t="n">
        <v>7.05</v>
      </c>
      <c r="E104" s="80">
        <f>C104*D104</f>
        <v/>
      </c>
      <c r="F104" s="80" t="n">
        <v>7.05</v>
      </c>
      <c r="G104" s="79" t="s">
        <v>28</v>
      </c>
      <c r="H104" s="81" t="s">
        <v>29</v>
      </c>
      <c r="I104" s="82" t="s">
        <v>30</v>
      </c>
      <c r="J104" s="74" t="s">
        <v>59</v>
      </c>
      <c r="K104" s="82" t="s">
        <v>32</v>
      </c>
      <c r="L104" s="83">
        <f>0.85 * F104</f>
        <v/>
      </c>
      <c r="M104" s="66" t="n">
        <v>5.9925</v>
      </c>
    </row>
    <row customFormat="1" r="105" s="39" spans="1:13">
      <c r="A105" s="77" t="n"/>
      <c r="B105" s="78" t="s">
        <v>86</v>
      </c>
      <c r="C105" s="79" t="n">
        <v>37</v>
      </c>
      <c r="D105" s="80" t="n">
        <v>4.84486486486486</v>
      </c>
      <c r="E105" s="80">
        <f>C105*D105</f>
        <v/>
      </c>
      <c r="F105" s="80" t="n">
        <v>179.2599999999998</v>
      </c>
      <c r="G105" s="79" t="s">
        <v>28</v>
      </c>
      <c r="H105" s="81" t="s">
        <v>60</v>
      </c>
      <c r="I105" s="82" t="s">
        <v>30</v>
      </c>
      <c r="J105" s="74" t="s">
        <v>60</v>
      </c>
      <c r="K105" s="82" t="s">
        <v>32</v>
      </c>
      <c r="L105" s="83">
        <f>0.85 * F105</f>
        <v/>
      </c>
      <c r="M105" s="66" t="n">
        <v>152.3709999999998</v>
      </c>
    </row>
    <row customFormat="1" r="106" s="39" spans="1:13">
      <c r="A106" s="77" t="n"/>
      <c r="B106" s="78" t="s">
        <v>86</v>
      </c>
      <c r="C106" s="79" t="n">
        <v>8</v>
      </c>
      <c r="D106" s="80" t="n">
        <v>5.3025</v>
      </c>
      <c r="E106" s="80">
        <f>C106*D106</f>
        <v/>
      </c>
      <c r="F106" s="80" t="n">
        <v>42.42</v>
      </c>
      <c r="G106" s="79" t="s">
        <v>28</v>
      </c>
      <c r="H106" s="81" t="s">
        <v>68</v>
      </c>
      <c r="I106" s="82" t="s">
        <v>30</v>
      </c>
      <c r="J106" s="74" t="s">
        <v>68</v>
      </c>
      <c r="K106" s="82" t="s">
        <v>32</v>
      </c>
      <c r="L106" s="83">
        <f>0.85 * F106</f>
        <v/>
      </c>
      <c r="M106" s="66" t="n">
        <v>36.057</v>
      </c>
    </row>
    <row customFormat="1" r="107" s="39" spans="1:13">
      <c r="A107" s="77" t="n"/>
      <c r="B107" s="78" t="s">
        <v>86</v>
      </c>
      <c r="C107" s="79" t="n">
        <v>32</v>
      </c>
      <c r="D107" s="80" t="n">
        <v>5.37625</v>
      </c>
      <c r="E107" s="80">
        <f>C107*D107</f>
        <v/>
      </c>
      <c r="F107" s="80" t="n">
        <v>172.04</v>
      </c>
      <c r="G107" s="79" t="s">
        <v>28</v>
      </c>
      <c r="H107" s="81" t="s">
        <v>68</v>
      </c>
      <c r="I107" s="82" t="s">
        <v>30</v>
      </c>
      <c r="J107" s="74" t="s">
        <v>69</v>
      </c>
      <c r="K107" s="82" t="s">
        <v>32</v>
      </c>
      <c r="L107" s="83">
        <f>0.85 * F107</f>
        <v/>
      </c>
      <c r="M107" s="66" t="n">
        <v>146.234</v>
      </c>
    </row>
    <row customFormat="1" r="108" s="39" spans="1:13">
      <c r="A108" s="77" t="n"/>
      <c r="B108" s="78" t="s">
        <v>94</v>
      </c>
      <c r="C108" s="79" t="n">
        <v>6</v>
      </c>
      <c r="D108" s="80" t="n">
        <v>3.46</v>
      </c>
      <c r="E108" s="80">
        <f>C108*D108</f>
        <v/>
      </c>
      <c r="F108" s="80" t="n">
        <v>20.76</v>
      </c>
      <c r="G108" s="79" t="s">
        <v>28</v>
      </c>
      <c r="H108" s="81" t="s">
        <v>33</v>
      </c>
      <c r="I108" s="82" t="s">
        <v>30</v>
      </c>
      <c r="J108" s="74" t="s">
        <v>33</v>
      </c>
      <c r="K108" s="82" t="s">
        <v>32</v>
      </c>
      <c r="L108" s="83">
        <f>0.85 * F108</f>
        <v/>
      </c>
      <c r="M108" s="66" t="n">
        <v>17.646</v>
      </c>
    </row>
    <row customFormat="1" r="109" s="39" spans="1:13">
      <c r="A109" s="77" t="n"/>
      <c r="B109" s="78" t="s">
        <v>94</v>
      </c>
      <c r="C109" s="79" t="n">
        <v>7</v>
      </c>
      <c r="D109" s="80" t="n">
        <v>3.76</v>
      </c>
      <c r="E109" s="80">
        <f>C109*D109</f>
        <v/>
      </c>
      <c r="F109" s="80" t="n">
        <v>26.32</v>
      </c>
      <c r="G109" s="79" t="s">
        <v>28</v>
      </c>
      <c r="H109" s="81" t="s">
        <v>71</v>
      </c>
      <c r="I109" s="82" t="s">
        <v>30</v>
      </c>
      <c r="J109" s="74" t="s">
        <v>71</v>
      </c>
      <c r="K109" s="82" t="s">
        <v>32</v>
      </c>
      <c r="L109" s="83">
        <f>0.85 * F109</f>
        <v/>
      </c>
      <c r="M109" s="66" t="n">
        <v>22.372</v>
      </c>
    </row>
    <row customFormat="1" r="110" s="39" spans="1:13">
      <c r="A110" s="77" t="n"/>
      <c r="B110" s="78" t="s">
        <v>94</v>
      </c>
      <c r="C110" s="79" t="n">
        <v>2</v>
      </c>
      <c r="D110" s="80" t="n">
        <v>3.76</v>
      </c>
      <c r="E110" s="80">
        <f>C110*D110</f>
        <v/>
      </c>
      <c r="F110" s="80" t="n">
        <v>7.52</v>
      </c>
      <c r="G110" s="79" t="s">
        <v>28</v>
      </c>
      <c r="H110" s="81" t="s">
        <v>36</v>
      </c>
      <c r="I110" s="82" t="s">
        <v>30</v>
      </c>
      <c r="J110" s="74" t="s">
        <v>37</v>
      </c>
      <c r="K110" s="82" t="s">
        <v>32</v>
      </c>
      <c r="L110" s="83">
        <f>0.85 * F110</f>
        <v/>
      </c>
      <c r="M110" s="66" t="n">
        <v>6.391999999999999</v>
      </c>
    </row>
    <row customFormat="1" r="111" s="39" spans="1:13">
      <c r="A111" s="77" t="n"/>
      <c r="B111" s="78" t="s">
        <v>94</v>
      </c>
      <c r="C111" s="79" t="n">
        <v>511</v>
      </c>
      <c r="D111" s="80" t="n">
        <v>4.07976516634051</v>
      </c>
      <c r="E111" s="80">
        <f>C111*D111</f>
        <v/>
      </c>
      <c r="F111" s="80" t="n">
        <v>2084.760000000001</v>
      </c>
      <c r="G111" s="79" t="s">
        <v>28</v>
      </c>
      <c r="H111" s="81" t="s">
        <v>38</v>
      </c>
      <c r="I111" s="82" t="s">
        <v>30</v>
      </c>
      <c r="J111" s="74" t="s">
        <v>38</v>
      </c>
      <c r="K111" s="82" t="s">
        <v>32</v>
      </c>
      <c r="L111" s="83">
        <f>0.85 * F111</f>
        <v/>
      </c>
      <c r="M111" s="66" t="n">
        <v>1772.046000000001</v>
      </c>
    </row>
    <row customFormat="1" r="112" s="39" spans="1:13">
      <c r="A112" s="77" t="n"/>
      <c r="B112" s="78" t="s">
        <v>94</v>
      </c>
      <c r="C112" s="79" t="n">
        <v>16</v>
      </c>
      <c r="D112" s="80" t="n">
        <v>3.76</v>
      </c>
      <c r="E112" s="80">
        <f>C112*D112</f>
        <v/>
      </c>
      <c r="F112" s="80" t="n">
        <v>60.16</v>
      </c>
      <c r="G112" s="79" t="s">
        <v>28</v>
      </c>
      <c r="H112" s="81" t="s">
        <v>77</v>
      </c>
      <c r="I112" s="82" t="s">
        <v>30</v>
      </c>
      <c r="J112" s="74" t="s">
        <v>77</v>
      </c>
      <c r="K112" s="82" t="s">
        <v>32</v>
      </c>
      <c r="L112" s="83">
        <f>0.85 * F112</f>
        <v/>
      </c>
      <c r="M112" s="66" t="n">
        <v>51.136</v>
      </c>
    </row>
    <row customFormat="1" r="113" s="39" spans="1:13">
      <c r="A113" s="77" t="n"/>
      <c r="B113" s="78" t="s">
        <v>94</v>
      </c>
      <c r="C113" s="79" t="n">
        <v>4</v>
      </c>
      <c r="D113" s="80" t="n">
        <v>3.76</v>
      </c>
      <c r="E113" s="80">
        <f>C113*D113</f>
        <v/>
      </c>
      <c r="F113" s="80" t="n">
        <v>15.04</v>
      </c>
      <c r="G113" s="79" t="s">
        <v>28</v>
      </c>
      <c r="H113" s="81" t="s">
        <v>87</v>
      </c>
      <c r="I113" s="82" t="s">
        <v>30</v>
      </c>
      <c r="J113" s="74" t="s">
        <v>87</v>
      </c>
      <c r="K113" s="82" t="s">
        <v>32</v>
      </c>
      <c r="L113" s="83">
        <f>0.85 * F113</f>
        <v/>
      </c>
      <c r="M113" s="66" t="n">
        <v>12.784</v>
      </c>
    </row>
    <row customFormat="1" r="114" s="39" spans="1:13">
      <c r="A114" s="77" t="n"/>
      <c r="B114" s="78" t="s">
        <v>94</v>
      </c>
      <c r="C114" s="79" t="n">
        <v>15</v>
      </c>
      <c r="D114" s="80" t="n">
        <v>3.444</v>
      </c>
      <c r="E114" s="80">
        <f>C114*D114</f>
        <v/>
      </c>
      <c r="F114" s="80" t="n">
        <v>51.66</v>
      </c>
      <c r="G114" s="79" t="s">
        <v>28</v>
      </c>
      <c r="H114" s="81" t="s">
        <v>90</v>
      </c>
      <c r="I114" s="82" t="s">
        <v>30</v>
      </c>
      <c r="J114" s="74" t="s">
        <v>90</v>
      </c>
      <c r="K114" s="82" t="s">
        <v>32</v>
      </c>
      <c r="L114" s="83">
        <f>0.85 * F114</f>
        <v/>
      </c>
      <c r="M114" s="66" t="n">
        <v>43.91099999999999</v>
      </c>
    </row>
    <row customFormat="1" r="115" s="39" spans="1:13">
      <c r="A115" s="77" t="n"/>
      <c r="B115" s="78" t="s">
        <v>94</v>
      </c>
      <c r="C115" s="79" t="n">
        <v>19</v>
      </c>
      <c r="D115" s="80" t="n">
        <v>4.01526315789474</v>
      </c>
      <c r="E115" s="80">
        <f>C115*D115</f>
        <v/>
      </c>
      <c r="F115" s="80" t="n">
        <v>76.29000000000006</v>
      </c>
      <c r="G115" s="79" t="s">
        <v>28</v>
      </c>
      <c r="H115" s="81" t="s">
        <v>45</v>
      </c>
      <c r="I115" s="82" t="s">
        <v>30</v>
      </c>
      <c r="J115" s="74" t="s">
        <v>45</v>
      </c>
      <c r="K115" s="82" t="s">
        <v>32</v>
      </c>
      <c r="L115" s="83">
        <f>0.85 * F115</f>
        <v/>
      </c>
      <c r="M115" s="66" t="n">
        <v>64.84650000000005</v>
      </c>
    </row>
    <row customFormat="1" r="116" s="39" spans="1:13">
      <c r="A116" s="77" t="n"/>
      <c r="B116" s="78" t="s">
        <v>94</v>
      </c>
      <c r="C116" s="79" t="n">
        <v>8</v>
      </c>
      <c r="D116" s="80" t="n">
        <v>3.8275</v>
      </c>
      <c r="E116" s="80">
        <f>C116*D116</f>
        <v/>
      </c>
      <c r="F116" s="80" t="n">
        <v>30.62</v>
      </c>
      <c r="G116" s="79" t="s">
        <v>28</v>
      </c>
      <c r="H116" s="81" t="s">
        <v>34</v>
      </c>
      <c r="I116" s="82" t="s">
        <v>30</v>
      </c>
      <c r="J116" s="74" t="s">
        <v>46</v>
      </c>
      <c r="K116" s="82" t="s">
        <v>32</v>
      </c>
      <c r="L116" s="83">
        <f>0.85 * F116</f>
        <v/>
      </c>
      <c r="M116" s="66" t="n">
        <v>26.027</v>
      </c>
    </row>
    <row customFormat="1" r="117" s="39" spans="1:13">
      <c r="A117" s="77" t="n"/>
      <c r="B117" s="78" t="s">
        <v>94</v>
      </c>
      <c r="C117" s="79" t="n">
        <v>1</v>
      </c>
      <c r="D117" s="80" t="n">
        <v>6.02</v>
      </c>
      <c r="E117" s="80">
        <f>C117*D117</f>
        <v/>
      </c>
      <c r="F117" s="80" t="n">
        <v>6.02</v>
      </c>
      <c r="G117" s="79" t="s">
        <v>28</v>
      </c>
      <c r="H117" s="81" t="s">
        <v>36</v>
      </c>
      <c r="I117" s="82" t="s">
        <v>30</v>
      </c>
      <c r="J117" s="74" t="s">
        <v>95</v>
      </c>
      <c r="K117" s="82" t="s">
        <v>32</v>
      </c>
      <c r="L117" s="83">
        <f>0.85 * F117</f>
        <v/>
      </c>
      <c r="M117" s="66" t="n">
        <v>5.116999999999999</v>
      </c>
    </row>
    <row customFormat="1" r="118" s="39" spans="1:13">
      <c r="A118" s="77" t="n"/>
      <c r="B118" s="78" t="s">
        <v>94</v>
      </c>
      <c r="C118" s="79" t="n">
        <v>28</v>
      </c>
      <c r="D118" s="80" t="n">
        <v>3.5675</v>
      </c>
      <c r="E118" s="80">
        <f>C118*D118</f>
        <v/>
      </c>
      <c r="F118" s="80" t="n">
        <v>99.89</v>
      </c>
      <c r="G118" s="79" t="s">
        <v>28</v>
      </c>
      <c r="H118" s="81" t="s">
        <v>47</v>
      </c>
      <c r="I118" s="82" t="s">
        <v>30</v>
      </c>
      <c r="J118" s="74" t="s">
        <v>47</v>
      </c>
      <c r="K118" s="82" t="s">
        <v>32</v>
      </c>
      <c r="L118" s="83">
        <f>0.85 * F118</f>
        <v/>
      </c>
      <c r="M118" s="66" t="n">
        <v>84.90649999999999</v>
      </c>
    </row>
    <row customFormat="1" r="119" s="39" spans="1:13">
      <c r="A119" s="77" t="n"/>
      <c r="B119" s="78" t="s">
        <v>94</v>
      </c>
      <c r="C119" s="79" t="n">
        <v>41</v>
      </c>
      <c r="D119" s="80" t="n">
        <v>2.66829268292683</v>
      </c>
      <c r="E119" s="80">
        <f>C119*D119</f>
        <v/>
      </c>
      <c r="F119" s="80" t="n">
        <v>109.4</v>
      </c>
      <c r="G119" s="79" t="s">
        <v>28</v>
      </c>
      <c r="H119" s="81" t="s">
        <v>63</v>
      </c>
      <c r="I119" s="82" t="s">
        <v>30</v>
      </c>
      <c r="J119" s="74" t="s">
        <v>63</v>
      </c>
      <c r="K119" s="82" t="s">
        <v>32</v>
      </c>
      <c r="L119" s="83">
        <f>0.85 * F119</f>
        <v/>
      </c>
      <c r="M119" s="66" t="n">
        <v>92.99000000000001</v>
      </c>
    </row>
    <row customFormat="1" r="120" s="39" spans="1:13">
      <c r="A120" s="77" t="n"/>
      <c r="B120" s="78" t="s">
        <v>94</v>
      </c>
      <c r="C120" s="79" t="n">
        <v>35</v>
      </c>
      <c r="D120" s="80" t="n">
        <v>3.58285714285714</v>
      </c>
      <c r="E120" s="80">
        <f>C120*D120</f>
        <v/>
      </c>
      <c r="F120" s="80" t="n">
        <v>125.3999999999999</v>
      </c>
      <c r="G120" s="79" t="s">
        <v>28</v>
      </c>
      <c r="H120" s="81" t="s">
        <v>49</v>
      </c>
      <c r="I120" s="82" t="s">
        <v>30</v>
      </c>
      <c r="J120" s="74" t="s">
        <v>50</v>
      </c>
      <c r="K120" s="82" t="s">
        <v>32</v>
      </c>
      <c r="L120" s="83">
        <f>0.85 * F120</f>
        <v/>
      </c>
      <c r="M120" s="66" t="n">
        <v>106.5899999999999</v>
      </c>
    </row>
    <row customFormat="1" r="121" s="39" spans="1:13">
      <c r="A121" s="77" t="n"/>
      <c r="B121" s="78" t="s">
        <v>94</v>
      </c>
      <c r="C121" s="79" t="n">
        <v>1</v>
      </c>
      <c r="D121" s="80" t="n">
        <v>3.76</v>
      </c>
      <c r="E121" s="80">
        <f>C121*D121</f>
        <v/>
      </c>
      <c r="F121" s="80" t="n">
        <v>3.76</v>
      </c>
      <c r="G121" s="79" t="s">
        <v>28</v>
      </c>
      <c r="H121" s="81" t="s">
        <v>36</v>
      </c>
      <c r="I121" s="82" t="s">
        <v>30</v>
      </c>
      <c r="J121" s="74" t="s">
        <v>52</v>
      </c>
      <c r="K121" s="82" t="s">
        <v>32</v>
      </c>
      <c r="L121" s="83">
        <f>0.85 * F121</f>
        <v/>
      </c>
      <c r="M121" s="66" t="n">
        <v>3.196</v>
      </c>
    </row>
    <row customFormat="1" r="122" s="39" spans="1:13">
      <c r="A122" s="77" t="n"/>
      <c r="B122" s="78" t="s">
        <v>94</v>
      </c>
      <c r="C122" s="79" t="n">
        <v>2</v>
      </c>
      <c r="D122" s="80" t="n">
        <v>3.05</v>
      </c>
      <c r="E122" s="80">
        <f>C122*D122</f>
        <v/>
      </c>
      <c r="F122" s="80" t="n">
        <v>6.1</v>
      </c>
      <c r="G122" s="79" t="s">
        <v>28</v>
      </c>
      <c r="H122" s="81" t="s">
        <v>34</v>
      </c>
      <c r="I122" s="82" t="s">
        <v>30</v>
      </c>
      <c r="J122" s="74" t="s">
        <v>53</v>
      </c>
      <c r="K122" s="82" t="s">
        <v>32</v>
      </c>
      <c r="L122" s="83">
        <f>0.85 * F122</f>
        <v/>
      </c>
      <c r="M122" s="66" t="n">
        <v>5.185</v>
      </c>
    </row>
    <row customFormat="1" r="123" s="39" spans="1:13">
      <c r="A123" s="77" t="n"/>
      <c r="B123" s="78" t="s">
        <v>94</v>
      </c>
      <c r="C123" s="79" t="n">
        <v>7</v>
      </c>
      <c r="D123" s="80" t="n">
        <v>3.87571428571429</v>
      </c>
      <c r="E123" s="80">
        <f>C123*D123</f>
        <v/>
      </c>
      <c r="F123" s="80" t="n">
        <v>27.13000000000003</v>
      </c>
      <c r="G123" s="79" t="s">
        <v>28</v>
      </c>
      <c r="H123" s="81" t="s">
        <v>64</v>
      </c>
      <c r="I123" s="82" t="s">
        <v>30</v>
      </c>
      <c r="J123" s="74" t="s">
        <v>83</v>
      </c>
      <c r="K123" s="82" t="s">
        <v>32</v>
      </c>
      <c r="L123" s="83">
        <f>0.85 * F123</f>
        <v/>
      </c>
      <c r="M123" s="66" t="n">
        <v>23.06050000000003</v>
      </c>
    </row>
    <row customFormat="1" r="124" s="39" spans="1:13">
      <c r="A124" s="77" t="n"/>
      <c r="B124" s="78" t="s">
        <v>94</v>
      </c>
      <c r="C124" s="79" t="n">
        <v>1</v>
      </c>
      <c r="D124" s="80" t="n">
        <v>2.78</v>
      </c>
      <c r="E124" s="80">
        <f>C124*D124</f>
        <v/>
      </c>
      <c r="F124" s="80" t="n">
        <v>2.78</v>
      </c>
      <c r="G124" s="79" t="s">
        <v>28</v>
      </c>
      <c r="H124" s="81" t="s">
        <v>64</v>
      </c>
      <c r="I124" s="82" t="s">
        <v>30</v>
      </c>
      <c r="J124" s="74" t="s">
        <v>84</v>
      </c>
      <c r="K124" s="82" t="s">
        <v>32</v>
      </c>
      <c r="L124" s="83">
        <f>0.85 * F124</f>
        <v/>
      </c>
      <c r="M124" s="66" t="n">
        <v>2.363</v>
      </c>
    </row>
    <row customFormat="1" r="125" s="39" spans="1:13">
      <c r="A125" s="77" t="n"/>
      <c r="B125" s="78" t="s">
        <v>94</v>
      </c>
      <c r="C125" s="79" t="n">
        <v>3</v>
      </c>
      <c r="D125" s="80" t="n">
        <v>2.76</v>
      </c>
      <c r="E125" s="80">
        <f>C125*D125</f>
        <v/>
      </c>
      <c r="F125" s="80" t="n">
        <v>8.279999999999999</v>
      </c>
      <c r="G125" s="79" t="s">
        <v>28</v>
      </c>
      <c r="H125" s="81" t="s">
        <v>72</v>
      </c>
      <c r="I125" s="82" t="s">
        <v>30</v>
      </c>
      <c r="J125" s="74" t="s">
        <v>92</v>
      </c>
      <c r="K125" s="82" t="s">
        <v>32</v>
      </c>
      <c r="L125" s="83">
        <f>0.85 * F125</f>
        <v/>
      </c>
      <c r="M125" s="66" t="n">
        <v>7.037999999999999</v>
      </c>
    </row>
    <row customFormat="1" r="126" s="39" spans="1:13">
      <c r="A126" s="77" t="n"/>
      <c r="B126" s="78" t="s">
        <v>94</v>
      </c>
      <c r="C126" s="79" t="n">
        <v>84</v>
      </c>
      <c r="D126" s="80" t="n">
        <v>3.61321428571429</v>
      </c>
      <c r="E126" s="80">
        <f>C126*D126</f>
        <v/>
      </c>
      <c r="F126" s="80" t="n">
        <v>303.5100000000004</v>
      </c>
      <c r="G126" s="79" t="s">
        <v>28</v>
      </c>
      <c r="H126" s="81" t="s">
        <v>55</v>
      </c>
      <c r="I126" s="82" t="s">
        <v>30</v>
      </c>
      <c r="J126" s="74" t="s">
        <v>55</v>
      </c>
      <c r="K126" s="82" t="s">
        <v>32</v>
      </c>
      <c r="L126" s="83">
        <f>0.85 * F126</f>
        <v/>
      </c>
      <c r="M126" s="66" t="n">
        <v>257.9835000000003</v>
      </c>
    </row>
    <row customFormat="1" r="127" s="39" spans="1:13">
      <c r="A127" s="77" t="n"/>
      <c r="B127" s="78" t="s">
        <v>94</v>
      </c>
      <c r="C127" s="79" t="n">
        <v>56</v>
      </c>
      <c r="D127" s="80" t="n">
        <v>5.24946428571429</v>
      </c>
      <c r="E127" s="80">
        <f>C127*D127</f>
        <v/>
      </c>
      <c r="F127" s="80" t="n">
        <v>293.9700000000003</v>
      </c>
      <c r="G127" s="79" t="s">
        <v>28</v>
      </c>
      <c r="H127" s="81" t="s">
        <v>56</v>
      </c>
      <c r="I127" s="82" t="s">
        <v>30</v>
      </c>
      <c r="J127" s="74" t="s">
        <v>56</v>
      </c>
      <c r="K127" s="82" t="s">
        <v>32</v>
      </c>
      <c r="L127" s="83">
        <f>0.85 * F127</f>
        <v/>
      </c>
      <c r="M127" s="66" t="n">
        <v>249.8745000000002</v>
      </c>
    </row>
    <row customFormat="1" r="128" s="39" spans="1:13">
      <c r="A128" s="77" t="n"/>
      <c r="B128" s="78" t="s">
        <v>94</v>
      </c>
      <c r="C128" s="79" t="n">
        <v>2</v>
      </c>
      <c r="D128" s="80" t="n">
        <v>4.89</v>
      </c>
      <c r="E128" s="80">
        <f>C128*D128</f>
        <v/>
      </c>
      <c r="F128" s="80" t="n">
        <v>9.779999999999999</v>
      </c>
      <c r="G128" s="79" t="s">
        <v>28</v>
      </c>
      <c r="H128" s="81" t="s">
        <v>40</v>
      </c>
      <c r="I128" s="82" t="s">
        <v>30</v>
      </c>
      <c r="J128" s="74" t="s">
        <v>93</v>
      </c>
      <c r="K128" s="82" t="s">
        <v>32</v>
      </c>
      <c r="L128" s="83">
        <f>0.85 * F128</f>
        <v/>
      </c>
      <c r="M128" s="66" t="n">
        <v>8.312999999999999</v>
      </c>
    </row>
    <row customFormat="1" r="129" s="39" spans="1:13">
      <c r="A129" s="77" t="n"/>
      <c r="B129" s="78" t="s">
        <v>94</v>
      </c>
      <c r="C129" s="79" t="n">
        <v>19</v>
      </c>
      <c r="D129" s="80" t="n">
        <v>2.98</v>
      </c>
      <c r="E129" s="80">
        <f>C129*D129</f>
        <v/>
      </c>
      <c r="F129" s="80" t="n">
        <v>56.62</v>
      </c>
      <c r="G129" s="79" t="s">
        <v>28</v>
      </c>
      <c r="H129" s="81" t="s">
        <v>29</v>
      </c>
      <c r="I129" s="82" t="s">
        <v>30</v>
      </c>
      <c r="J129" s="74" t="s">
        <v>59</v>
      </c>
      <c r="K129" s="82" t="s">
        <v>32</v>
      </c>
      <c r="L129" s="83">
        <f>0.85 * F129</f>
        <v/>
      </c>
      <c r="M129" s="66" t="n">
        <v>48.127</v>
      </c>
    </row>
    <row customFormat="1" r="130" s="39" spans="1:13">
      <c r="A130" s="77" t="n"/>
      <c r="B130" s="78" t="s">
        <v>94</v>
      </c>
      <c r="C130" s="79" t="n">
        <v>85</v>
      </c>
      <c r="D130" s="80" t="n">
        <v>3.642</v>
      </c>
      <c r="E130" s="80">
        <f>C130*D130</f>
        <v/>
      </c>
      <c r="F130" s="80" t="n">
        <v>309.57</v>
      </c>
      <c r="G130" s="79" t="s">
        <v>28</v>
      </c>
      <c r="H130" s="81" t="s">
        <v>60</v>
      </c>
      <c r="I130" s="82" t="s">
        <v>30</v>
      </c>
      <c r="J130" s="74" t="s">
        <v>60</v>
      </c>
      <c r="K130" s="82" t="s">
        <v>32</v>
      </c>
      <c r="L130" s="83">
        <f>0.85 * F130</f>
        <v/>
      </c>
      <c r="M130" s="66" t="n">
        <v>263.1345</v>
      </c>
    </row>
    <row customFormat="1" r="131" s="39" spans="1:13">
      <c r="A131" s="77" t="n"/>
      <c r="B131" s="78" t="s">
        <v>94</v>
      </c>
      <c r="C131" s="79" t="n">
        <v>25</v>
      </c>
      <c r="D131" s="80" t="n">
        <v>3.9464</v>
      </c>
      <c r="E131" s="80">
        <f>C131*D131</f>
        <v/>
      </c>
      <c r="F131" s="80" t="n">
        <v>98.66</v>
      </c>
      <c r="G131" s="79" t="s">
        <v>28</v>
      </c>
      <c r="H131" s="81" t="s">
        <v>68</v>
      </c>
      <c r="I131" s="82" t="s">
        <v>30</v>
      </c>
      <c r="J131" s="74" t="s">
        <v>69</v>
      </c>
      <c r="K131" s="82" t="s">
        <v>32</v>
      </c>
      <c r="L131" s="83">
        <f>0.85 * F131</f>
        <v/>
      </c>
      <c r="M131" s="66" t="n">
        <v>83.86099999999999</v>
      </c>
    </row>
    <row customFormat="1" r="132" s="39" spans="1:13">
      <c r="A132" s="77" t="n"/>
      <c r="B132" s="78" t="s">
        <v>96</v>
      </c>
      <c r="C132" s="79" t="n">
        <v>2</v>
      </c>
      <c r="D132" s="80" t="n">
        <v>8.999817500000001</v>
      </c>
      <c r="E132" s="80">
        <f>C132*D132</f>
        <v/>
      </c>
      <c r="F132" s="80" t="n">
        <v>17.999635</v>
      </c>
      <c r="G132" s="79" t="s">
        <v>28</v>
      </c>
      <c r="H132" s="81" t="s">
        <v>38</v>
      </c>
      <c r="I132" s="82" t="s">
        <v>30</v>
      </c>
      <c r="J132" s="74" t="s">
        <v>38</v>
      </c>
      <c r="K132" s="82" t="s">
        <v>32</v>
      </c>
      <c r="L132" s="83">
        <f>0.85 * F132</f>
        <v/>
      </c>
      <c r="M132" s="66" t="n">
        <v>15.29968975</v>
      </c>
    </row>
    <row customFormat="1" r="133" s="39" spans="1:13">
      <c r="A133" s="77" t="n"/>
      <c r="B133" s="78" t="s">
        <v>96</v>
      </c>
      <c r="C133" s="79" t="n">
        <v>1</v>
      </c>
      <c r="D133" s="80" t="n">
        <v>7.491321</v>
      </c>
      <c r="E133" s="80">
        <f>C133*D133</f>
        <v/>
      </c>
      <c r="F133" s="80" t="n">
        <v>7.491321</v>
      </c>
      <c r="G133" s="79" t="s">
        <v>28</v>
      </c>
      <c r="H133" s="81" t="s">
        <v>63</v>
      </c>
      <c r="I133" s="82" t="s">
        <v>30</v>
      </c>
      <c r="J133" s="74" t="s">
        <v>63</v>
      </c>
      <c r="K133" s="82" t="s">
        <v>32</v>
      </c>
      <c r="L133" s="83">
        <f>0.85 * F133</f>
        <v/>
      </c>
      <c r="M133" s="66" t="n">
        <v>6.36762285</v>
      </c>
    </row>
    <row customFormat="1" r="134" s="39" spans="1:13">
      <c r="A134" s="77" t="n"/>
      <c r="B134" s="78" t="s">
        <v>96</v>
      </c>
      <c r="C134" s="79" t="n">
        <v>1</v>
      </c>
      <c r="D134" s="80" t="n">
        <v>30.156517</v>
      </c>
      <c r="E134" s="80">
        <f>C134*D134</f>
        <v/>
      </c>
      <c r="F134" s="80" t="n">
        <v>30.156517</v>
      </c>
      <c r="G134" s="79" t="s">
        <v>28</v>
      </c>
      <c r="H134" s="81" t="s">
        <v>68</v>
      </c>
      <c r="I134" s="82" t="s">
        <v>30</v>
      </c>
      <c r="J134" s="74" t="s">
        <v>69</v>
      </c>
      <c r="K134" s="82" t="s">
        <v>32</v>
      </c>
      <c r="L134" s="83">
        <f>0.85 * F134</f>
        <v/>
      </c>
      <c r="M134" s="66" t="n">
        <v>25.63303945</v>
      </c>
    </row>
    <row customFormat="1" r="135" s="39" spans="1:13">
      <c r="A135" s="77" t="n"/>
      <c r="B135" s="78" t="s">
        <v>97</v>
      </c>
      <c r="C135" s="79" t="n">
        <v>1</v>
      </c>
      <c r="D135" s="80" t="n">
        <v>3</v>
      </c>
      <c r="E135" s="80">
        <f>C135*D135</f>
        <v/>
      </c>
      <c r="F135" s="80" t="n">
        <v>3</v>
      </c>
      <c r="G135" s="79" t="s">
        <v>28</v>
      </c>
      <c r="H135" s="81" t="s">
        <v>40</v>
      </c>
      <c r="I135" s="82" t="s">
        <v>30</v>
      </c>
      <c r="J135" s="74" t="s">
        <v>41</v>
      </c>
      <c r="K135" s="82" t="s">
        <v>32</v>
      </c>
      <c r="L135" s="83">
        <f>0.85 * F135</f>
        <v/>
      </c>
      <c r="M135" s="66" t="n">
        <v>2.55</v>
      </c>
    </row>
    <row customFormat="1" r="136" s="39" spans="1:13">
      <c r="A136" s="77" t="n"/>
      <c r="B136" s="78" t="s">
        <v>98</v>
      </c>
      <c r="C136" s="79" t="n">
        <v>1</v>
      </c>
      <c r="D136" s="80" t="n">
        <v>4.0915473793</v>
      </c>
      <c r="E136" s="80">
        <f>C136*D136</f>
        <v/>
      </c>
      <c r="F136" s="80" t="n">
        <v>4.0915473793</v>
      </c>
      <c r="G136" s="79" t="s">
        <v>28</v>
      </c>
      <c r="H136" s="81" t="s">
        <v>64</v>
      </c>
      <c r="I136" s="82" t="s">
        <v>30</v>
      </c>
      <c r="J136" s="74" t="s">
        <v>65</v>
      </c>
      <c r="K136" s="82" t="s">
        <v>32</v>
      </c>
      <c r="L136" s="83">
        <f>0.85 * F136</f>
        <v/>
      </c>
      <c r="M136" s="66" t="n">
        <v>3.477815272405</v>
      </c>
    </row>
    <row customFormat="1" r="137" s="39" spans="1:13">
      <c r="A137" s="77" t="n"/>
      <c r="B137" s="78" t="s">
        <v>99</v>
      </c>
      <c r="C137" s="79" t="n"/>
      <c r="D137" s="80" t="n"/>
      <c r="E137" s="80" t="s"/>
      <c r="F137" s="80" t="n"/>
      <c r="G137" s="79" t="n"/>
      <c r="H137" s="81" t="n"/>
      <c r="I137" s="82" t="n"/>
      <c r="J137" s="74" t="n"/>
      <c r="K137" s="82" t="n"/>
      <c r="L137" s="83" t="s"/>
      <c r="M137" s="66">
        <f>SUM(M18:M136)</f>
        <v/>
      </c>
    </row>
    <row customFormat="1" r="138" s="39" spans="1:13">
      <c r="A138" s="5" t="n"/>
      <c r="B138" s="84" t="s">
        <v>100</v>
      </c>
      <c r="C138" s="84" t="n">
        <v>26</v>
      </c>
      <c r="D138" s="84" t="n">
        <v>0.3</v>
      </c>
      <c r="E138" s="84">
        <f>C138*D138</f>
        <v/>
      </c>
      <c r="F138" s="84">
        <f>E138</f>
        <v/>
      </c>
      <c r="G138" s="84" t="s">
        <v>43</v>
      </c>
    </row>
    <row customFormat="1" r="139" s="39" spans="1:13">
      <c r="A139" s="5" t="n"/>
      <c r="B139" s="85" t="s">
        <v>101</v>
      </c>
    </row>
    <row customFormat="1" r="140" s="39" spans="1:13">
      <c r="A140" s="5" t="n"/>
    </row>
    <row customFormat="1" r="141" s="39" spans="1:13">
      <c r="A141" s="5" t="n"/>
    </row>
    <row customFormat="1" r="142" s="39" spans="1:13">
      <c r="A142" s="5" t="n"/>
    </row>
    <row customFormat="1" r="143" s="39" spans="1:13">
      <c r="A143" s="5" t="n"/>
    </row>
    <row customFormat="1" r="144" s="39" spans="1:13">
      <c r="A144" s="5" t="n"/>
    </row>
    <row customFormat="1" r="145" s="39" spans="1:13">
      <c r="A145" s="5" t="n"/>
    </row>
    <row customFormat="1" r="146" s="39" spans="1:13">
      <c r="A146" s="5" t="n"/>
    </row>
    <row customFormat="1" r="147" s="39" spans="1:13">
      <c r="A147" s="5" t="n"/>
    </row>
    <row customFormat="1" r="148" s="39" spans="1:13">
      <c r="A148" s="5" t="n"/>
    </row>
    <row customFormat="1" r="149" s="39" spans="1:13">
      <c r="A149" s="5" t="n"/>
    </row>
    <row customFormat="1" r="150" s="39" spans="1:13">
      <c r="A150" s="5" t="n"/>
    </row>
    <row customFormat="1" r="151" s="39" spans="1:13">
      <c r="A151" s="5" t="n"/>
    </row>
    <row customFormat="1" r="152" s="39" spans="1:13">
      <c r="A152" s="5" t="n"/>
    </row>
    <row customFormat="1" r="153" s="39" spans="1:13">
      <c r="A153" s="5" t="n"/>
    </row>
    <row customFormat="1" r="154" s="39" spans="1:13">
      <c r="A154" s="5" t="n"/>
    </row>
    <row customFormat="1" r="155" s="39" spans="1:13">
      <c r="A155" s="5" t="n"/>
    </row>
    <row customFormat="1" r="156" s="39" spans="1:13">
      <c r="A156" s="5" t="n"/>
    </row>
    <row customFormat="1" r="157" s="39" spans="1:13">
      <c r="A157" s="5" t="n"/>
    </row>
    <row r="158" spans="1:13">
      <c r="A158" s="5" t="n"/>
    </row>
    <row r="159" spans="1:13">
      <c r="A159" s="5" t="n"/>
    </row>
  </sheetData>
  <mergeCells count="14">
    <mergeCell ref="K8:K10"/>
    <mergeCell ref="B2:M2"/>
    <mergeCell ref="K16:K17"/>
    <mergeCell ref="B16:B17"/>
    <mergeCell ref="L16:M16"/>
    <mergeCell ref="C16:C17"/>
    <mergeCell ref="D16:D17"/>
    <mergeCell ref="G16:G17"/>
    <mergeCell ref="I16:I17"/>
    <mergeCell ref="J16:J17"/>
    <mergeCell ref="F16:F17"/>
    <mergeCell ref="H16:H17"/>
    <mergeCell ref="O12:U16"/>
    <mergeCell ref="B139:M141"/>
  </mergeCells>
  <printOptions horizontalCentered="1"/>
  <pageMargins bottom="0.3937007874015748" footer="0" header="0" left="0.3937007874015748" right="0.3937007874015748" top="0.5511811023622047"/>
  <pageSetup fitToHeight="0" orientation="landscape" paperSize="9" scale="62"/>
  <drawing r:id="rId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</dc:creator>
  <dcterms:created xsi:type="dcterms:W3CDTF">2011-12-16T17:48:10Z</dcterms:created>
  <dcterms:modified xsi:type="dcterms:W3CDTF">2024-04-01T01:15:40Z</dcterms:modified>
  <cp:lastModifiedBy>Microsoft Office User</cp:lastModifiedBy>
  <cp:lastPrinted>2018-04-10T19:53:01Z</cp:lastPrinted>
</cp:coreProperties>
</file>